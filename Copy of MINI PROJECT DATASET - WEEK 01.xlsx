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CAREER 247 DA\"/>
    </mc:Choice>
  </mc:AlternateContent>
  <xr:revisionPtr revIDLastSave="0" documentId="13_ncr:1_{57D5BB76-B1A4-49E4-9780-C4205CE1CB29}" xr6:coauthVersionLast="47" xr6:coauthVersionMax="47" xr10:uidLastSave="{00000000-0000-0000-0000-000000000000}"/>
  <bookViews>
    <workbookView xWindow="-110" yWindow="-110" windowWidth="19420" windowHeight="11020" activeTab="3" xr2:uid="{FF6CB653-6220-46B0-810F-8784E2C55212}"/>
  </bookViews>
  <sheets>
    <sheet name="data" sheetId="1" r:id="rId1"/>
    <sheet name="HLOOKUP" sheetId="11" r:id="rId2"/>
    <sheet name="CHART CREATION" sheetId="4" r:id="rId3"/>
    <sheet name="BRAINSTORMING" sheetId="13" r:id="rId4"/>
  </sheets>
  <definedNames>
    <definedName name="_xlnm._FilterDatabase" localSheetId="0" hidden="1">data!$A$1:$N$188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B17" i="11"/>
  <c r="GB12" i="11" a="1"/>
  <c r="GB12" i="11" s="1"/>
  <c r="GB13" i="11" s="1" a="1"/>
  <c r="GB13" i="11" s="1"/>
  <c r="FV12" i="11" a="1"/>
  <c r="FV12" i="11" s="1"/>
  <c r="FV13" i="11" s="1" a="1"/>
  <c r="FV13" i="11" s="1"/>
  <c r="FP12" i="11" a="1"/>
  <c r="FP12" i="11" s="1"/>
  <c r="FP13" i="11" s="1" a="1"/>
  <c r="FP13" i="11" s="1"/>
  <c r="FJ12" i="11" a="1"/>
  <c r="FJ12" i="11" s="1"/>
  <c r="FJ13" i="11" s="1" a="1"/>
  <c r="FJ13" i="11" s="1"/>
  <c r="FD12" i="11" a="1"/>
  <c r="FD12" i="11" s="1"/>
  <c r="FD13" i="11" s="1" a="1"/>
  <c r="FD13" i="11" s="1"/>
  <c r="EX12" i="11" a="1"/>
  <c r="EX12" i="11" s="1"/>
  <c r="EX13" i="11" s="1" a="1"/>
  <c r="EX13" i="11" s="1"/>
  <c r="ER12" i="11" a="1"/>
  <c r="ER12" i="11" s="1"/>
  <c r="ER13" i="11" s="1" a="1"/>
  <c r="ER13" i="11" s="1"/>
  <c r="EL12" i="11" a="1"/>
  <c r="EL12" i="11" s="1"/>
  <c r="EL13" i="11" s="1" a="1"/>
  <c r="EL13" i="11" s="1"/>
  <c r="EF12" i="11" a="1"/>
  <c r="EF12" i="11" s="1"/>
  <c r="EF13" i="11" s="1" a="1"/>
  <c r="EF13" i="11" s="1"/>
  <c r="DZ12" i="11" a="1"/>
  <c r="DZ12" i="11" s="1"/>
  <c r="DZ13" i="11" s="1" a="1"/>
  <c r="DZ13" i="11" s="1"/>
  <c r="DT12" i="11" a="1"/>
  <c r="DT12" i="11" s="1"/>
  <c r="DT13" i="11" s="1" a="1"/>
  <c r="DT13" i="11" s="1"/>
  <c r="DN12" i="11" a="1"/>
  <c r="DN12" i="11" s="1"/>
  <c r="DN13" i="11" s="1" a="1"/>
  <c r="DN13" i="11" s="1"/>
  <c r="DH12" i="11" a="1"/>
  <c r="DH12" i="11" s="1"/>
  <c r="DH13" i="11" s="1" a="1"/>
  <c r="DH13" i="11" s="1"/>
  <c r="DB12" i="11" a="1"/>
  <c r="DB12" i="11" s="1"/>
  <c r="DB13" i="11" s="1" a="1"/>
  <c r="DB13" i="11" s="1"/>
  <c r="CV12" i="11" a="1"/>
  <c r="CV12" i="11" s="1"/>
  <c r="CV13" i="11" s="1" a="1"/>
  <c r="CV13" i="11" s="1"/>
  <c r="CP12" i="11" a="1"/>
  <c r="CP12" i="11" s="1"/>
  <c r="CP13" i="11" s="1" a="1"/>
  <c r="CP13" i="11" s="1"/>
  <c r="CJ12" i="11" a="1"/>
  <c r="CJ12" i="11" s="1"/>
  <c r="CJ13" i="11" s="1" a="1"/>
  <c r="CJ13" i="11" s="1"/>
  <c r="CD12" i="11" a="1"/>
  <c r="CD12" i="11" s="1"/>
  <c r="CD13" i="11" s="1" a="1"/>
  <c r="CD13" i="11" s="1"/>
  <c r="BX12" i="11" a="1"/>
  <c r="BX12" i="11" s="1"/>
  <c r="BX13" i="11" s="1" a="1"/>
  <c r="BX13" i="11" s="1"/>
  <c r="BR12" i="11" a="1"/>
  <c r="BR12" i="11" s="1"/>
  <c r="BR13" i="11" s="1" a="1"/>
  <c r="BR13" i="11" s="1"/>
  <c r="BL12" i="11" a="1"/>
  <c r="BL12" i="11" s="1"/>
  <c r="BL13" i="11" s="1" a="1"/>
  <c r="BL13" i="11" s="1"/>
  <c r="BF12" i="11" a="1"/>
  <c r="BF12" i="11" s="1"/>
  <c r="BF13" i="11" s="1" a="1"/>
  <c r="BF13" i="11" s="1"/>
  <c r="AZ12" i="11" a="1"/>
  <c r="AZ12" i="11" s="1"/>
  <c r="AZ13" i="11" s="1" a="1"/>
  <c r="AZ13" i="11" s="1"/>
  <c r="AU12" i="11" a="1"/>
  <c r="AU12" i="11" s="1"/>
  <c r="AU13" i="11" s="1" a="1"/>
  <c r="AU13" i="11" s="1"/>
  <c r="AT12" i="11" a="1"/>
  <c r="AT12" i="11" s="1"/>
  <c r="AT13" i="11" s="1" a="1"/>
  <c r="AT13" i="11" s="1"/>
  <c r="AN12" i="11" a="1"/>
  <c r="AN12" i="11" s="1"/>
  <c r="AN13" i="11" s="1" a="1"/>
  <c r="AN13" i="11" s="1"/>
  <c r="AI12" i="11" a="1"/>
  <c r="AI12" i="11" s="1"/>
  <c r="AI13" i="11" s="1" a="1"/>
  <c r="AI13" i="11" s="1"/>
  <c r="AH12" i="11" a="1"/>
  <c r="AH12" i="11" s="1"/>
  <c r="AH13" i="11" s="1" a="1"/>
  <c r="AH13" i="11" s="1"/>
  <c r="AB12" i="11" a="1"/>
  <c r="AB12" i="11" s="1"/>
  <c r="AB13" i="11" s="1" a="1"/>
  <c r="AB13" i="11" s="1"/>
  <c r="W12" i="11" a="1"/>
  <c r="W12" i="11" s="1"/>
  <c r="W13" i="11" s="1" a="1"/>
  <c r="W13" i="11" s="1"/>
  <c r="V12" i="11" a="1"/>
  <c r="V12" i="11" s="1"/>
  <c r="V13" i="11" s="1" a="1"/>
  <c r="V13" i="11" s="1"/>
  <c r="P12" i="11" a="1"/>
  <c r="P12" i="11" s="1"/>
  <c r="P13" i="11" s="1" a="1"/>
  <c r="P13" i="11" s="1"/>
  <c r="K12" i="11" a="1"/>
  <c r="K12" i="11" s="1"/>
  <c r="K13" i="11" s="1" a="1"/>
  <c r="K13" i="11" s="1"/>
  <c r="J12" i="11" a="1"/>
  <c r="J12" i="11" s="1"/>
  <c r="J13" i="11" s="1" a="1"/>
  <c r="J13" i="11" s="1"/>
  <c r="D12" i="11" a="1"/>
  <c r="D12" i="11" s="1"/>
  <c r="D13" i="11" s="1" a="1"/>
  <c r="D13" i="11" s="1"/>
  <c r="GF11" i="11"/>
  <c r="GE11" i="11"/>
  <c r="GD11" i="11"/>
  <c r="GC11" i="11"/>
  <c r="GB11" i="11"/>
  <c r="GA11" i="11"/>
  <c r="FZ11" i="11"/>
  <c r="FY11" i="11"/>
  <c r="FX11" i="11"/>
  <c r="FW11" i="11"/>
  <c r="FV11" i="11"/>
  <c r="FU11" i="11"/>
  <c r="FT11" i="11"/>
  <c r="FS11" i="11"/>
  <c r="FR11" i="11"/>
  <c r="FQ11" i="11"/>
  <c r="FP11" i="11"/>
  <c r="FO11" i="11"/>
  <c r="FN11" i="11"/>
  <c r="FM11" i="11"/>
  <c r="FL11" i="11"/>
  <c r="FK11" i="11"/>
  <c r="FJ11" i="11"/>
  <c r="FI11" i="11"/>
  <c r="FH11" i="11"/>
  <c r="FG11" i="11"/>
  <c r="FF11" i="11"/>
  <c r="FE11" i="11"/>
  <c r="FD11" i="11"/>
  <c r="FC11" i="11"/>
  <c r="FB11" i="11"/>
  <c r="FA11" i="11"/>
  <c r="EZ11" i="11"/>
  <c r="EY11" i="11"/>
  <c r="EX11" i="11"/>
  <c r="EW11" i="11"/>
  <c r="EV11" i="11"/>
  <c r="EU11" i="11"/>
  <c r="ET11" i="11"/>
  <c r="ES11" i="11"/>
  <c r="ER11" i="11"/>
  <c r="EQ11" i="11"/>
  <c r="EP11" i="11"/>
  <c r="EO11" i="11"/>
  <c r="EN11" i="11"/>
  <c r="EM11" i="11"/>
  <c r="EL11" i="11"/>
  <c r="EK11" i="11"/>
  <c r="EJ11" i="11"/>
  <c r="EI11" i="11"/>
  <c r="EH11" i="11"/>
  <c r="EG11" i="11"/>
  <c r="EF11" i="11"/>
  <c r="EE11" i="11"/>
  <c r="ED11" i="11"/>
  <c r="EC11" i="11"/>
  <c r="EB11" i="11"/>
  <c r="EA11" i="11"/>
  <c r="DZ11" i="11"/>
  <c r="DY11" i="11"/>
  <c r="DX11" i="11"/>
  <c r="DW11" i="11"/>
  <c r="DV11" i="11"/>
  <c r="DU11" i="11"/>
  <c r="DT11" i="11"/>
  <c r="DS11" i="11"/>
  <c r="DR11" i="11"/>
  <c r="DQ11" i="11"/>
  <c r="DP11" i="11"/>
  <c r="DO11" i="11"/>
  <c r="DN11" i="11"/>
  <c r="DM11" i="11"/>
  <c r="DL11" i="11"/>
  <c r="DK11" i="11"/>
  <c r="DJ11" i="11"/>
  <c r="DI11" i="11"/>
  <c r="DH11" i="11"/>
  <c r="DG11" i="11"/>
  <c r="DF11" i="11"/>
  <c r="DE11" i="11"/>
  <c r="DD11" i="11"/>
  <c r="DC11" i="11"/>
  <c r="DB11" i="11"/>
  <c r="DA11" i="11"/>
  <c r="CZ11" i="11"/>
  <c r="CY11" i="11"/>
  <c r="CX11" i="11"/>
  <c r="CW11" i="11"/>
  <c r="CV11" i="11"/>
  <c r="CU11" i="11"/>
  <c r="CT11" i="11"/>
  <c r="CS11" i="11"/>
  <c r="CR11" i="11"/>
  <c r="CQ11" i="11"/>
  <c r="CP11" i="11"/>
  <c r="CO11" i="11"/>
  <c r="CN11" i="11"/>
  <c r="CM11" i="11"/>
  <c r="CL11" i="11"/>
  <c r="CK11" i="11"/>
  <c r="CJ11" i="11"/>
  <c r="CI11" i="11"/>
  <c r="CH11" i="11"/>
  <c r="CG11" i="11"/>
  <c r="CF11" i="11"/>
  <c r="CE11" i="11"/>
  <c r="CD11" i="11"/>
  <c r="CC11" i="11"/>
  <c r="CB11" i="11"/>
  <c r="CA11" i="11"/>
  <c r="BZ11" i="11"/>
  <c r="BY11" i="11"/>
  <c r="BX11" i="11"/>
  <c r="BW11" i="11"/>
  <c r="BV11" i="11"/>
  <c r="BU11" i="11"/>
  <c r="BT11" i="11"/>
  <c r="BS11" i="11"/>
  <c r="BR11" i="11"/>
  <c r="BQ11" i="11"/>
  <c r="BP11" i="11"/>
  <c r="BO11" i="11"/>
  <c r="BN11" i="11"/>
  <c r="BM11" i="11"/>
  <c r="BL11" i="11"/>
  <c r="BK11" i="11"/>
  <c r="BJ11" i="11"/>
  <c r="BI11" i="11"/>
  <c r="BH11" i="11"/>
  <c r="BG11" i="11"/>
  <c r="BF11" i="11"/>
  <c r="BE11" i="11"/>
  <c r="BD11" i="11"/>
  <c r="BC11" i="11"/>
  <c r="BB11" i="11"/>
  <c r="BA11" i="11"/>
  <c r="AZ11" i="11"/>
  <c r="AY11" i="11"/>
  <c r="AX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GF10" i="11"/>
  <c r="GE10" i="11"/>
  <c r="GD10" i="11"/>
  <c r="GC10" i="11"/>
  <c r="GB10" i="11"/>
  <c r="GA10" i="11"/>
  <c r="FZ10" i="11"/>
  <c r="FY10" i="11"/>
  <c r="FX10" i="11"/>
  <c r="FW10" i="11"/>
  <c r="FV10" i="11"/>
  <c r="FU10" i="11"/>
  <c r="FT10" i="11"/>
  <c r="FS10" i="11"/>
  <c r="FR10" i="11"/>
  <c r="FQ10" i="11"/>
  <c r="FP10" i="11"/>
  <c r="FO10" i="11"/>
  <c r="FN10" i="11"/>
  <c r="FM10" i="11"/>
  <c r="FL10" i="11"/>
  <c r="FK10" i="11"/>
  <c r="FJ10" i="11"/>
  <c r="FI10" i="11"/>
  <c r="FH10" i="11"/>
  <c r="FG10" i="11"/>
  <c r="FF10" i="11"/>
  <c r="FE10" i="11"/>
  <c r="FD10" i="11"/>
  <c r="FC10" i="11"/>
  <c r="FB10" i="11"/>
  <c r="FA10" i="11"/>
  <c r="EZ10" i="11"/>
  <c r="EY10" i="11"/>
  <c r="EX10" i="11"/>
  <c r="EW10" i="11"/>
  <c r="EV10" i="11"/>
  <c r="EU10" i="11"/>
  <c r="ET10" i="11"/>
  <c r="ES10" i="11"/>
  <c r="ER10" i="11"/>
  <c r="EQ10" i="11"/>
  <c r="EP10" i="11"/>
  <c r="EO10" i="11"/>
  <c r="EN10" i="11"/>
  <c r="EM10" i="11"/>
  <c r="EL10" i="11"/>
  <c r="EK10" i="11"/>
  <c r="EJ10" i="11"/>
  <c r="EI10" i="11"/>
  <c r="EH10" i="11"/>
  <c r="EG10" i="11"/>
  <c r="EF10" i="11"/>
  <c r="EE10" i="11"/>
  <c r="ED10" i="11"/>
  <c r="EC10" i="11"/>
  <c r="EB10" i="11"/>
  <c r="EA10" i="11"/>
  <c r="DZ10" i="11"/>
  <c r="DY10" i="11"/>
  <c r="DX10" i="11"/>
  <c r="DW10" i="11"/>
  <c r="DV10" i="11"/>
  <c r="DU10" i="11"/>
  <c r="DT10" i="11"/>
  <c r="DS10" i="11"/>
  <c r="DR10" i="11"/>
  <c r="DQ10" i="11"/>
  <c r="DP10" i="11"/>
  <c r="DO10" i="11"/>
  <c r="DN10" i="11"/>
  <c r="DM10" i="11"/>
  <c r="DL10" i="11"/>
  <c r="DK10" i="11"/>
  <c r="DJ10" i="11"/>
  <c r="DI10" i="11"/>
  <c r="DH10" i="11"/>
  <c r="DG10" i="11"/>
  <c r="DF10" i="11"/>
  <c r="DE10" i="11"/>
  <c r="DD10" i="11"/>
  <c r="DC10" i="11"/>
  <c r="DB10" i="11"/>
  <c r="DA10" i="11"/>
  <c r="CZ10" i="11"/>
  <c r="CY10" i="11"/>
  <c r="CX10" i="11"/>
  <c r="CW10" i="11"/>
  <c r="CV10" i="11"/>
  <c r="CU10" i="11"/>
  <c r="CT10" i="11"/>
  <c r="CS10" i="11"/>
  <c r="CR10" i="11"/>
  <c r="CQ10" i="11"/>
  <c r="CP10" i="11"/>
  <c r="CO10" i="11"/>
  <c r="CN10" i="11"/>
  <c r="CM10" i="11"/>
  <c r="CL10" i="11"/>
  <c r="CK10" i="11"/>
  <c r="CJ10" i="11"/>
  <c r="CI10" i="11"/>
  <c r="CH10" i="11"/>
  <c r="CG10" i="11"/>
  <c r="CF10" i="11"/>
  <c r="CE10" i="11"/>
  <c r="CD10" i="11"/>
  <c r="CC10" i="11"/>
  <c r="CB10" i="11"/>
  <c r="CA10" i="11"/>
  <c r="BZ10" i="11"/>
  <c r="BY10" i="11"/>
  <c r="BX10" i="11"/>
  <c r="BW10" i="11"/>
  <c r="BV10" i="11"/>
  <c r="BU10" i="11"/>
  <c r="BT10" i="11"/>
  <c r="BS10" i="11"/>
  <c r="BR10" i="11"/>
  <c r="BQ10" i="11"/>
  <c r="BP10" i="11"/>
  <c r="BO10" i="11"/>
  <c r="BN10" i="11"/>
  <c r="BM10" i="11"/>
  <c r="BL10" i="11"/>
  <c r="BK10" i="11"/>
  <c r="BJ10" i="11"/>
  <c r="BI10" i="11"/>
  <c r="BH10" i="11"/>
  <c r="BG10" i="11"/>
  <c r="BF10" i="11"/>
  <c r="BE10" i="11"/>
  <c r="BD10" i="11"/>
  <c r="BC10" i="11"/>
  <c r="BB10" i="11"/>
  <c r="BA10" i="11"/>
  <c r="AZ10" i="11"/>
  <c r="AY10" i="11"/>
  <c r="AX10" i="11"/>
  <c r="AW10" i="11"/>
  <c r="AV10" i="11"/>
  <c r="AU10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GF9" i="11"/>
  <c r="GF12" i="11" s="1" a="1"/>
  <c r="GF12" i="11" s="1"/>
  <c r="GF13" i="11" s="1" a="1"/>
  <c r="GF13" i="11" s="1"/>
  <c r="GE9" i="11"/>
  <c r="GE12" i="11" s="1" a="1"/>
  <c r="GE12" i="11" s="1"/>
  <c r="GE13" i="11" s="1" a="1"/>
  <c r="GE13" i="11" s="1"/>
  <c r="GD9" i="11"/>
  <c r="GD12" i="11" s="1" a="1"/>
  <c r="GD12" i="11" s="1"/>
  <c r="GD13" i="11" s="1" a="1"/>
  <c r="GD13" i="11" s="1"/>
  <c r="GC9" i="11"/>
  <c r="GC12" i="11" s="1" a="1"/>
  <c r="GC12" i="11" s="1"/>
  <c r="GC13" i="11" s="1" a="1"/>
  <c r="GC13" i="11" s="1"/>
  <c r="GB9" i="11"/>
  <c r="GA9" i="11"/>
  <c r="GA12" i="11" s="1" a="1"/>
  <c r="GA12" i="11" s="1"/>
  <c r="GA13" i="11" s="1" a="1"/>
  <c r="GA13" i="11" s="1"/>
  <c r="FZ9" i="11"/>
  <c r="FZ12" i="11" s="1" a="1"/>
  <c r="FZ12" i="11" s="1"/>
  <c r="FZ13" i="11" s="1" a="1"/>
  <c r="FZ13" i="11" s="1"/>
  <c r="FY9" i="11"/>
  <c r="FY12" i="11" s="1" a="1"/>
  <c r="FY12" i="11" s="1"/>
  <c r="FY13" i="11" s="1" a="1"/>
  <c r="FY13" i="11" s="1"/>
  <c r="FX9" i="11"/>
  <c r="FX12" i="11" s="1" a="1"/>
  <c r="FX12" i="11" s="1"/>
  <c r="FX13" i="11" s="1" a="1"/>
  <c r="FX13" i="11" s="1"/>
  <c r="FW9" i="11"/>
  <c r="FW12" i="11" s="1" a="1"/>
  <c r="FW12" i="11" s="1"/>
  <c r="FW13" i="11" s="1" a="1"/>
  <c r="FW13" i="11" s="1"/>
  <c r="FV9" i="11"/>
  <c r="FU9" i="11"/>
  <c r="FU12" i="11" s="1" a="1"/>
  <c r="FU12" i="11" s="1"/>
  <c r="FU13" i="11" s="1" a="1"/>
  <c r="FU13" i="11" s="1"/>
  <c r="FT9" i="11"/>
  <c r="FT12" i="11" s="1" a="1"/>
  <c r="FT12" i="11" s="1"/>
  <c r="FT13" i="11" s="1" a="1"/>
  <c r="FT13" i="11" s="1"/>
  <c r="FS9" i="11"/>
  <c r="FS12" i="11" s="1" a="1"/>
  <c r="FS12" i="11" s="1"/>
  <c r="FS13" i="11" s="1" a="1"/>
  <c r="FS13" i="11" s="1"/>
  <c r="FR9" i="11"/>
  <c r="FR12" i="11" s="1" a="1"/>
  <c r="FR12" i="11" s="1"/>
  <c r="FR13" i="11" s="1" a="1"/>
  <c r="FR13" i="11" s="1"/>
  <c r="FQ9" i="11"/>
  <c r="FQ12" i="11" s="1" a="1"/>
  <c r="FQ12" i="11" s="1"/>
  <c r="FQ13" i="11" s="1" a="1"/>
  <c r="FQ13" i="11" s="1"/>
  <c r="FP9" i="11"/>
  <c r="FO9" i="11"/>
  <c r="FO12" i="11" s="1" a="1"/>
  <c r="FO12" i="11" s="1"/>
  <c r="FO13" i="11" s="1" a="1"/>
  <c r="FO13" i="11" s="1"/>
  <c r="FN9" i="11"/>
  <c r="FN12" i="11" s="1" a="1"/>
  <c r="FN12" i="11" s="1"/>
  <c r="FN13" i="11" s="1" a="1"/>
  <c r="FN13" i="11" s="1"/>
  <c r="FM9" i="11"/>
  <c r="FM12" i="11" s="1" a="1"/>
  <c r="FM12" i="11" s="1"/>
  <c r="FM13" i="11" s="1" a="1"/>
  <c r="FM13" i="11" s="1"/>
  <c r="FL9" i="11"/>
  <c r="FL12" i="11" s="1" a="1"/>
  <c r="FL12" i="11" s="1"/>
  <c r="FL13" i="11" s="1" a="1"/>
  <c r="FL13" i="11" s="1"/>
  <c r="FK9" i="11"/>
  <c r="FK12" i="11" s="1" a="1"/>
  <c r="FK12" i="11" s="1"/>
  <c r="FK13" i="11" s="1" a="1"/>
  <c r="FK13" i="11" s="1"/>
  <c r="FJ9" i="11"/>
  <c r="FI9" i="11"/>
  <c r="FI12" i="11" s="1" a="1"/>
  <c r="FI12" i="11" s="1"/>
  <c r="FI13" i="11" s="1" a="1"/>
  <c r="FI13" i="11" s="1"/>
  <c r="FH9" i="11"/>
  <c r="FH12" i="11" s="1" a="1"/>
  <c r="FH12" i="11" s="1"/>
  <c r="FH13" i="11" s="1" a="1"/>
  <c r="FH13" i="11" s="1"/>
  <c r="FG9" i="11"/>
  <c r="FG12" i="11" s="1" a="1"/>
  <c r="FG12" i="11" s="1"/>
  <c r="FG13" i="11" s="1" a="1"/>
  <c r="FG13" i="11" s="1"/>
  <c r="FF9" i="11"/>
  <c r="FF12" i="11" s="1" a="1"/>
  <c r="FF12" i="11" s="1"/>
  <c r="FF13" i="11" s="1" a="1"/>
  <c r="FF13" i="11" s="1"/>
  <c r="FE9" i="11"/>
  <c r="FE12" i="11" s="1" a="1"/>
  <c r="FE12" i="11" s="1"/>
  <c r="FE13" i="11" s="1" a="1"/>
  <c r="FE13" i="11" s="1"/>
  <c r="FD9" i="11"/>
  <c r="FC9" i="11"/>
  <c r="FC12" i="11" s="1" a="1"/>
  <c r="FC12" i="11" s="1"/>
  <c r="FC13" i="11" s="1" a="1"/>
  <c r="FC13" i="11" s="1"/>
  <c r="FB9" i="11"/>
  <c r="FB12" i="11" s="1" a="1"/>
  <c r="FB12" i="11" s="1"/>
  <c r="FB13" i="11" s="1" a="1"/>
  <c r="FB13" i="11" s="1"/>
  <c r="FA9" i="11"/>
  <c r="FA12" i="11" s="1" a="1"/>
  <c r="FA12" i="11" s="1"/>
  <c r="FA13" i="11" s="1" a="1"/>
  <c r="FA13" i="11" s="1"/>
  <c r="EZ9" i="11"/>
  <c r="EZ12" i="11" s="1" a="1"/>
  <c r="EZ12" i="11" s="1"/>
  <c r="EZ13" i="11" s="1" a="1"/>
  <c r="EZ13" i="11" s="1"/>
  <c r="EY9" i="11"/>
  <c r="EY12" i="11" s="1" a="1"/>
  <c r="EY12" i="11" s="1"/>
  <c r="EY13" i="11" s="1" a="1"/>
  <c r="EY13" i="11" s="1"/>
  <c r="EX9" i="11"/>
  <c r="EW9" i="11"/>
  <c r="EW12" i="11" s="1" a="1"/>
  <c r="EW12" i="11" s="1"/>
  <c r="EW13" i="11" s="1" a="1"/>
  <c r="EW13" i="11" s="1"/>
  <c r="EV9" i="11"/>
  <c r="EV12" i="11" s="1" a="1"/>
  <c r="EV12" i="11" s="1"/>
  <c r="EV13" i="11" s="1" a="1"/>
  <c r="EV13" i="11" s="1"/>
  <c r="EU9" i="11"/>
  <c r="EU12" i="11" s="1" a="1"/>
  <c r="EU12" i="11" s="1"/>
  <c r="EU13" i="11" s="1" a="1"/>
  <c r="EU13" i="11" s="1"/>
  <c r="ET9" i="11"/>
  <c r="ET12" i="11" s="1" a="1"/>
  <c r="ET12" i="11" s="1"/>
  <c r="ET13" i="11" s="1" a="1"/>
  <c r="ET13" i="11" s="1"/>
  <c r="ES9" i="11"/>
  <c r="ES12" i="11" s="1" a="1"/>
  <c r="ES12" i="11" s="1"/>
  <c r="ES13" i="11" s="1" a="1"/>
  <c r="ES13" i="11" s="1"/>
  <c r="ER9" i="11"/>
  <c r="EQ9" i="11"/>
  <c r="EQ12" i="11" s="1" a="1"/>
  <c r="EQ12" i="11" s="1"/>
  <c r="EQ13" i="11" s="1" a="1"/>
  <c r="EQ13" i="11" s="1"/>
  <c r="EP9" i="11"/>
  <c r="EP12" i="11" s="1" a="1"/>
  <c r="EP12" i="11" s="1"/>
  <c r="EP13" i="11" s="1" a="1"/>
  <c r="EP13" i="11" s="1"/>
  <c r="EO9" i="11"/>
  <c r="EO12" i="11" s="1" a="1"/>
  <c r="EO12" i="11" s="1"/>
  <c r="EO13" i="11" s="1" a="1"/>
  <c r="EO13" i="11" s="1"/>
  <c r="EN9" i="11"/>
  <c r="EN12" i="11" s="1" a="1"/>
  <c r="EN12" i="11" s="1"/>
  <c r="EN13" i="11" s="1" a="1"/>
  <c r="EN13" i="11" s="1"/>
  <c r="EM9" i="11"/>
  <c r="EM12" i="11" s="1" a="1"/>
  <c r="EM12" i="11" s="1"/>
  <c r="EM13" i="11" s="1" a="1"/>
  <c r="EM13" i="11" s="1"/>
  <c r="EL9" i="11"/>
  <c r="EK9" i="11"/>
  <c r="EK12" i="11" s="1" a="1"/>
  <c r="EK12" i="11" s="1"/>
  <c r="EK13" i="11" s="1" a="1"/>
  <c r="EK13" i="11" s="1"/>
  <c r="EJ9" i="11"/>
  <c r="EJ12" i="11" s="1" a="1"/>
  <c r="EJ12" i="11" s="1"/>
  <c r="EJ13" i="11" s="1" a="1"/>
  <c r="EJ13" i="11" s="1"/>
  <c r="EI9" i="11"/>
  <c r="EI12" i="11" s="1" a="1"/>
  <c r="EI12" i="11" s="1"/>
  <c r="EI13" i="11" s="1" a="1"/>
  <c r="EI13" i="11" s="1"/>
  <c r="EH9" i="11"/>
  <c r="EH12" i="11" s="1" a="1"/>
  <c r="EH12" i="11" s="1"/>
  <c r="EH13" i="11" s="1" a="1"/>
  <c r="EH13" i="11" s="1"/>
  <c r="EG9" i="11"/>
  <c r="EG12" i="11" s="1" a="1"/>
  <c r="EG12" i="11" s="1"/>
  <c r="EG13" i="11" s="1" a="1"/>
  <c r="EG13" i="11" s="1"/>
  <c r="EF9" i="11"/>
  <c r="EE9" i="11"/>
  <c r="EE12" i="11" s="1" a="1"/>
  <c r="EE12" i="11" s="1"/>
  <c r="EE13" i="11" s="1" a="1"/>
  <c r="EE13" i="11" s="1"/>
  <c r="ED9" i="11"/>
  <c r="ED12" i="11" s="1" a="1"/>
  <c r="ED12" i="11" s="1"/>
  <c r="ED13" i="11" s="1" a="1"/>
  <c r="ED13" i="11" s="1"/>
  <c r="EC9" i="11"/>
  <c r="EC12" i="11" s="1" a="1"/>
  <c r="EC12" i="11" s="1"/>
  <c r="EC13" i="11" s="1" a="1"/>
  <c r="EC13" i="11" s="1"/>
  <c r="EB9" i="11"/>
  <c r="EB12" i="11" s="1" a="1"/>
  <c r="EB12" i="11" s="1"/>
  <c r="EB13" i="11" s="1" a="1"/>
  <c r="EB13" i="11" s="1"/>
  <c r="EA9" i="11"/>
  <c r="EA12" i="11" s="1" a="1"/>
  <c r="EA12" i="11" s="1"/>
  <c r="EA13" i="11" s="1" a="1"/>
  <c r="EA13" i="11" s="1"/>
  <c r="DZ9" i="11"/>
  <c r="DY9" i="11"/>
  <c r="DY12" i="11" s="1" a="1"/>
  <c r="DY12" i="11" s="1"/>
  <c r="DY13" i="11" s="1" a="1"/>
  <c r="DY13" i="11" s="1"/>
  <c r="DX9" i="11"/>
  <c r="DX12" i="11" s="1" a="1"/>
  <c r="DX12" i="11" s="1"/>
  <c r="DX13" i="11" s="1" a="1"/>
  <c r="DX13" i="11" s="1"/>
  <c r="DW9" i="11"/>
  <c r="DW12" i="11" s="1" a="1"/>
  <c r="DW12" i="11" s="1"/>
  <c r="DW13" i="11" s="1" a="1"/>
  <c r="DW13" i="11" s="1"/>
  <c r="DV9" i="11"/>
  <c r="DV12" i="11" s="1" a="1"/>
  <c r="DV12" i="11" s="1"/>
  <c r="DV13" i="11" s="1" a="1"/>
  <c r="DV13" i="11" s="1"/>
  <c r="DU9" i="11"/>
  <c r="DU12" i="11" s="1" a="1"/>
  <c r="DU12" i="11" s="1"/>
  <c r="DU13" i="11" s="1" a="1"/>
  <c r="DU13" i="11" s="1"/>
  <c r="DT9" i="11"/>
  <c r="DS9" i="11"/>
  <c r="DS12" i="11" s="1" a="1"/>
  <c r="DS12" i="11" s="1"/>
  <c r="DS13" i="11" s="1" a="1"/>
  <c r="DS13" i="11" s="1"/>
  <c r="DR9" i="11"/>
  <c r="DR12" i="11" s="1" a="1"/>
  <c r="DR12" i="11" s="1"/>
  <c r="DR13" i="11" s="1" a="1"/>
  <c r="DR13" i="11" s="1"/>
  <c r="DQ9" i="11"/>
  <c r="DQ12" i="11" s="1" a="1"/>
  <c r="DQ12" i="11" s="1"/>
  <c r="DQ13" i="11" s="1" a="1"/>
  <c r="DQ13" i="11" s="1"/>
  <c r="DP9" i="11"/>
  <c r="DP12" i="11" s="1" a="1"/>
  <c r="DP12" i="11" s="1"/>
  <c r="DP13" i="11" s="1" a="1"/>
  <c r="DP13" i="11" s="1"/>
  <c r="DO9" i="11"/>
  <c r="DO12" i="11" s="1" a="1"/>
  <c r="DO12" i="11" s="1"/>
  <c r="DO13" i="11" s="1" a="1"/>
  <c r="DO13" i="11" s="1"/>
  <c r="DN9" i="11"/>
  <c r="DM9" i="11"/>
  <c r="DM12" i="11" s="1" a="1"/>
  <c r="DM12" i="11" s="1"/>
  <c r="DM13" i="11" s="1" a="1"/>
  <c r="DM13" i="11" s="1"/>
  <c r="DL9" i="11"/>
  <c r="DL12" i="11" s="1" a="1"/>
  <c r="DL12" i="11" s="1"/>
  <c r="DL13" i="11" s="1" a="1"/>
  <c r="DL13" i="11" s="1"/>
  <c r="DK9" i="11"/>
  <c r="DK12" i="11" s="1" a="1"/>
  <c r="DK12" i="11" s="1"/>
  <c r="DK13" i="11" s="1" a="1"/>
  <c r="DK13" i="11" s="1"/>
  <c r="DJ9" i="11"/>
  <c r="DJ12" i="11" s="1" a="1"/>
  <c r="DJ12" i="11" s="1"/>
  <c r="DJ13" i="11" s="1" a="1"/>
  <c r="DJ13" i="11" s="1"/>
  <c r="DI9" i="11"/>
  <c r="DI12" i="11" s="1" a="1"/>
  <c r="DI12" i="11" s="1"/>
  <c r="DI13" i="11" s="1" a="1"/>
  <c r="DI13" i="11" s="1"/>
  <c r="DH9" i="11"/>
  <c r="DG9" i="11"/>
  <c r="DG12" i="11" s="1" a="1"/>
  <c r="DG12" i="11" s="1"/>
  <c r="DG13" i="11" s="1" a="1"/>
  <c r="DG13" i="11" s="1"/>
  <c r="DF9" i="11"/>
  <c r="DF12" i="11" s="1" a="1"/>
  <c r="DF12" i="11" s="1"/>
  <c r="DF13" i="11" s="1" a="1"/>
  <c r="DF13" i="11" s="1"/>
  <c r="DE9" i="11"/>
  <c r="DE12" i="11" s="1" a="1"/>
  <c r="DE12" i="11" s="1"/>
  <c r="DE13" i="11" s="1" a="1"/>
  <c r="DE13" i="11" s="1"/>
  <c r="DD9" i="11"/>
  <c r="DD12" i="11" s="1" a="1"/>
  <c r="DD12" i="11" s="1"/>
  <c r="DD13" i="11" s="1" a="1"/>
  <c r="DD13" i="11" s="1"/>
  <c r="DC9" i="11"/>
  <c r="DC12" i="11" s="1" a="1"/>
  <c r="DC12" i="11" s="1"/>
  <c r="DC13" i="11" s="1" a="1"/>
  <c r="DC13" i="11" s="1"/>
  <c r="DB9" i="11"/>
  <c r="DA9" i="11"/>
  <c r="DA12" i="11" s="1" a="1"/>
  <c r="DA12" i="11" s="1"/>
  <c r="DA13" i="11" s="1" a="1"/>
  <c r="DA13" i="11" s="1"/>
  <c r="CZ9" i="11"/>
  <c r="CZ12" i="11" s="1" a="1"/>
  <c r="CZ12" i="11" s="1"/>
  <c r="CZ13" i="11" s="1" a="1"/>
  <c r="CZ13" i="11" s="1"/>
  <c r="CY9" i="11"/>
  <c r="CY12" i="11" s="1" a="1"/>
  <c r="CY12" i="11" s="1"/>
  <c r="CY13" i="11" s="1" a="1"/>
  <c r="CY13" i="11" s="1"/>
  <c r="CX9" i="11"/>
  <c r="CX12" i="11" s="1" a="1"/>
  <c r="CX12" i="11" s="1"/>
  <c r="CX13" i="11" s="1" a="1"/>
  <c r="CX13" i="11" s="1"/>
  <c r="CW9" i="11"/>
  <c r="CW12" i="11" s="1" a="1"/>
  <c r="CW12" i="11" s="1"/>
  <c r="CW13" i="11" s="1" a="1"/>
  <c r="CW13" i="11" s="1"/>
  <c r="CV9" i="11"/>
  <c r="CU9" i="11"/>
  <c r="CU12" i="11" s="1" a="1"/>
  <c r="CU12" i="11" s="1"/>
  <c r="CU13" i="11" s="1" a="1"/>
  <c r="CU13" i="11" s="1"/>
  <c r="CT9" i="11"/>
  <c r="CT12" i="11" s="1" a="1"/>
  <c r="CT12" i="11" s="1"/>
  <c r="CT13" i="11" s="1" a="1"/>
  <c r="CT13" i="11" s="1"/>
  <c r="CS9" i="11"/>
  <c r="CS12" i="11" s="1" a="1"/>
  <c r="CS12" i="11" s="1"/>
  <c r="CS13" i="11" s="1" a="1"/>
  <c r="CS13" i="11" s="1"/>
  <c r="CR9" i="11"/>
  <c r="CR12" i="11" s="1" a="1"/>
  <c r="CR12" i="11" s="1"/>
  <c r="CR13" i="11" s="1" a="1"/>
  <c r="CR13" i="11" s="1"/>
  <c r="CQ9" i="11"/>
  <c r="CQ12" i="11" s="1" a="1"/>
  <c r="CQ12" i="11" s="1"/>
  <c r="CQ13" i="11" s="1" a="1"/>
  <c r="CQ13" i="11" s="1"/>
  <c r="CP9" i="11"/>
  <c r="CO9" i="11"/>
  <c r="CO12" i="11" s="1" a="1"/>
  <c r="CO12" i="11" s="1"/>
  <c r="CO13" i="11" s="1" a="1"/>
  <c r="CO13" i="11" s="1"/>
  <c r="CN9" i="11"/>
  <c r="CN12" i="11" s="1" a="1"/>
  <c r="CN12" i="11" s="1"/>
  <c r="CN13" i="11" s="1" a="1"/>
  <c r="CN13" i="11" s="1"/>
  <c r="CM9" i="11"/>
  <c r="CM12" i="11" s="1" a="1"/>
  <c r="CM12" i="11" s="1"/>
  <c r="CM13" i="11" s="1" a="1"/>
  <c r="CM13" i="11" s="1"/>
  <c r="CL9" i="11"/>
  <c r="CL12" i="11" s="1" a="1"/>
  <c r="CL12" i="11" s="1"/>
  <c r="CL13" i="11" s="1" a="1"/>
  <c r="CL13" i="11" s="1"/>
  <c r="CK9" i="11"/>
  <c r="CK12" i="11" s="1" a="1"/>
  <c r="CK12" i="11" s="1"/>
  <c r="CK13" i="11" s="1" a="1"/>
  <c r="CK13" i="11" s="1"/>
  <c r="CJ9" i="11"/>
  <c r="CI9" i="11"/>
  <c r="CI12" i="11" s="1" a="1"/>
  <c r="CI12" i="11" s="1"/>
  <c r="CI13" i="11" s="1" a="1"/>
  <c r="CI13" i="11" s="1"/>
  <c r="CH9" i="11"/>
  <c r="CH12" i="11" s="1" a="1"/>
  <c r="CH12" i="11" s="1"/>
  <c r="CH13" i="11" s="1" a="1"/>
  <c r="CH13" i="11" s="1"/>
  <c r="CG9" i="11"/>
  <c r="CG12" i="11" s="1" a="1"/>
  <c r="CG12" i="11" s="1"/>
  <c r="CG13" i="11" s="1" a="1"/>
  <c r="CG13" i="11" s="1"/>
  <c r="CF9" i="11"/>
  <c r="CF12" i="11" s="1" a="1"/>
  <c r="CF12" i="11" s="1"/>
  <c r="CF13" i="11" s="1" a="1"/>
  <c r="CF13" i="11" s="1"/>
  <c r="CE9" i="11"/>
  <c r="CE12" i="11" s="1" a="1"/>
  <c r="CE12" i="11" s="1"/>
  <c r="CE13" i="11" s="1" a="1"/>
  <c r="CE13" i="11" s="1"/>
  <c r="CD9" i="11"/>
  <c r="CC9" i="11"/>
  <c r="CC12" i="11" s="1" a="1"/>
  <c r="CC12" i="11" s="1"/>
  <c r="CC13" i="11" s="1" a="1"/>
  <c r="CC13" i="11" s="1"/>
  <c r="CB9" i="11"/>
  <c r="CB12" i="11" s="1" a="1"/>
  <c r="CB12" i="11" s="1"/>
  <c r="CB13" i="11" s="1" a="1"/>
  <c r="CB13" i="11" s="1"/>
  <c r="CA9" i="11"/>
  <c r="CA12" i="11" s="1" a="1"/>
  <c r="CA12" i="11" s="1"/>
  <c r="CA13" i="11" s="1" a="1"/>
  <c r="CA13" i="11" s="1"/>
  <c r="BZ9" i="11"/>
  <c r="BZ12" i="11" s="1" a="1"/>
  <c r="BZ12" i="11" s="1"/>
  <c r="BZ13" i="11" s="1" a="1"/>
  <c r="BZ13" i="11" s="1"/>
  <c r="BY9" i="11"/>
  <c r="BY12" i="11" s="1" a="1"/>
  <c r="BY12" i="11" s="1"/>
  <c r="BY13" i="11" s="1" a="1"/>
  <c r="BY13" i="11" s="1"/>
  <c r="BX9" i="11"/>
  <c r="BW9" i="11"/>
  <c r="BW12" i="11" s="1" a="1"/>
  <c r="BW12" i="11" s="1"/>
  <c r="BW13" i="11" s="1" a="1"/>
  <c r="BW13" i="11" s="1"/>
  <c r="BV9" i="11"/>
  <c r="BV12" i="11" s="1" a="1"/>
  <c r="BV12" i="11" s="1"/>
  <c r="BV13" i="11" s="1" a="1"/>
  <c r="BV13" i="11" s="1"/>
  <c r="BU9" i="11"/>
  <c r="BU12" i="11" s="1" a="1"/>
  <c r="BU12" i="11" s="1"/>
  <c r="BU13" i="11" s="1" a="1"/>
  <c r="BU13" i="11" s="1"/>
  <c r="BT9" i="11"/>
  <c r="BT12" i="11" s="1" a="1"/>
  <c r="BT12" i="11" s="1"/>
  <c r="BT13" i="11" s="1" a="1"/>
  <c r="BT13" i="11" s="1"/>
  <c r="BS9" i="11"/>
  <c r="BS12" i="11" s="1" a="1"/>
  <c r="BS12" i="11" s="1"/>
  <c r="BS13" i="11" s="1" a="1"/>
  <c r="BS13" i="11" s="1"/>
  <c r="BR9" i="11"/>
  <c r="BQ9" i="11"/>
  <c r="BQ12" i="11" s="1" a="1"/>
  <c r="BQ12" i="11" s="1"/>
  <c r="BQ13" i="11" s="1" a="1"/>
  <c r="BQ13" i="11" s="1"/>
  <c r="BP9" i="11"/>
  <c r="BP12" i="11" s="1" a="1"/>
  <c r="BP12" i="11" s="1"/>
  <c r="BP13" i="11" s="1" a="1"/>
  <c r="BP13" i="11" s="1"/>
  <c r="BO9" i="11"/>
  <c r="BO12" i="11" s="1" a="1"/>
  <c r="BO12" i="11" s="1"/>
  <c r="BO13" i="11" s="1" a="1"/>
  <c r="BO13" i="11" s="1"/>
  <c r="BN9" i="11"/>
  <c r="BN12" i="11" s="1" a="1"/>
  <c r="BN12" i="11" s="1"/>
  <c r="BN13" i="11" s="1" a="1"/>
  <c r="BN13" i="11" s="1"/>
  <c r="BM9" i="11"/>
  <c r="BM12" i="11" s="1" a="1"/>
  <c r="BM12" i="11" s="1"/>
  <c r="BM13" i="11" s="1" a="1"/>
  <c r="BM13" i="11" s="1"/>
  <c r="BL9" i="11"/>
  <c r="BK9" i="11"/>
  <c r="BK12" i="11" s="1" a="1"/>
  <c r="BK12" i="11" s="1"/>
  <c r="BK13" i="11" s="1" a="1"/>
  <c r="BK13" i="11" s="1"/>
  <c r="BJ9" i="11"/>
  <c r="BJ12" i="11" s="1" a="1"/>
  <c r="BJ12" i="11" s="1"/>
  <c r="BJ13" i="11" s="1" a="1"/>
  <c r="BJ13" i="11" s="1"/>
  <c r="BI9" i="11"/>
  <c r="BI12" i="11" s="1" a="1"/>
  <c r="BI12" i="11" s="1"/>
  <c r="BI13" i="11" s="1" a="1"/>
  <c r="BI13" i="11" s="1"/>
  <c r="BH9" i="11"/>
  <c r="BH12" i="11" s="1" a="1"/>
  <c r="BH12" i="11" s="1"/>
  <c r="BH13" i="11" s="1" a="1"/>
  <c r="BH13" i="11" s="1"/>
  <c r="BG9" i="11"/>
  <c r="BG12" i="11" s="1" a="1"/>
  <c r="BG12" i="11" s="1"/>
  <c r="BG13" i="11" s="1" a="1"/>
  <c r="BG13" i="11" s="1"/>
  <c r="BF9" i="11"/>
  <c r="BE9" i="11"/>
  <c r="BE12" i="11" s="1" a="1"/>
  <c r="BE12" i="11" s="1"/>
  <c r="BE13" i="11" s="1" a="1"/>
  <c r="BE13" i="11" s="1"/>
  <c r="BD9" i="11"/>
  <c r="BD12" i="11" s="1" a="1"/>
  <c r="BD12" i="11" s="1"/>
  <c r="BD13" i="11" s="1" a="1"/>
  <c r="BD13" i="11" s="1"/>
  <c r="BC9" i="11"/>
  <c r="BC12" i="11" s="1" a="1"/>
  <c r="BC12" i="11" s="1"/>
  <c r="BC13" i="11" s="1" a="1"/>
  <c r="BC13" i="11" s="1"/>
  <c r="BB9" i="11"/>
  <c r="BB12" i="11" s="1" a="1"/>
  <c r="BB12" i="11" s="1"/>
  <c r="BB13" i="11" s="1" a="1"/>
  <c r="BB13" i="11" s="1"/>
  <c r="BA9" i="11"/>
  <c r="BA12" i="11" s="1" a="1"/>
  <c r="BA12" i="11" s="1"/>
  <c r="BA13" i="11" s="1" a="1"/>
  <c r="BA13" i="11" s="1"/>
  <c r="AZ9" i="11"/>
  <c r="AY9" i="11"/>
  <c r="AY12" i="11" s="1" a="1"/>
  <c r="AY12" i="11" s="1"/>
  <c r="AY13" i="11" s="1" a="1"/>
  <c r="AY13" i="11" s="1"/>
  <c r="AX9" i="11"/>
  <c r="AX12" i="11" s="1" a="1"/>
  <c r="AX12" i="11" s="1"/>
  <c r="AX13" i="11" s="1" a="1"/>
  <c r="AX13" i="11" s="1"/>
  <c r="AW9" i="11"/>
  <c r="AW12" i="11" s="1" a="1"/>
  <c r="AW12" i="11" s="1"/>
  <c r="AW13" i="11" s="1" a="1"/>
  <c r="AW13" i="11" s="1"/>
  <c r="AV9" i="11"/>
  <c r="AV12" i="11" s="1" a="1"/>
  <c r="AV12" i="11" s="1"/>
  <c r="AV13" i="11" s="1" a="1"/>
  <c r="AV13" i="11" s="1"/>
  <c r="AU9" i="11"/>
  <c r="AT9" i="11"/>
  <c r="AS9" i="11"/>
  <c r="AS12" i="11" s="1" a="1"/>
  <c r="AS12" i="11" s="1"/>
  <c r="AS13" i="11" s="1" a="1"/>
  <c r="AS13" i="11" s="1"/>
  <c r="AR9" i="11"/>
  <c r="AR12" i="11" s="1" a="1"/>
  <c r="AR12" i="11" s="1"/>
  <c r="AR13" i="11" s="1" a="1"/>
  <c r="AR13" i="11" s="1"/>
  <c r="AQ9" i="11"/>
  <c r="AQ12" i="11" s="1" a="1"/>
  <c r="AQ12" i="11" s="1"/>
  <c r="AQ13" i="11" s="1" a="1"/>
  <c r="AQ13" i="11" s="1"/>
  <c r="AP9" i="11"/>
  <c r="AP12" i="11" s="1" a="1"/>
  <c r="AP12" i="11" s="1"/>
  <c r="AP13" i="11" s="1" a="1"/>
  <c r="AP13" i="11" s="1"/>
  <c r="AO9" i="11"/>
  <c r="AO12" i="11" s="1" a="1"/>
  <c r="AO12" i="11" s="1"/>
  <c r="AO13" i="11" s="1" a="1"/>
  <c r="AO13" i="11" s="1"/>
  <c r="AN9" i="11"/>
  <c r="AM9" i="11"/>
  <c r="AM12" i="11" s="1" a="1"/>
  <c r="AM12" i="11" s="1"/>
  <c r="AM13" i="11" s="1" a="1"/>
  <c r="AM13" i="11" s="1"/>
  <c r="AL9" i="11"/>
  <c r="AL12" i="11" s="1" a="1"/>
  <c r="AL12" i="11" s="1"/>
  <c r="AL13" i="11" s="1" a="1"/>
  <c r="AL13" i="11" s="1"/>
  <c r="AK9" i="11"/>
  <c r="AK12" i="11" s="1" a="1"/>
  <c r="AK12" i="11" s="1"/>
  <c r="AK13" i="11" s="1" a="1"/>
  <c r="AK13" i="11" s="1"/>
  <c r="AJ9" i="11"/>
  <c r="AJ12" i="11" s="1" a="1"/>
  <c r="AJ12" i="11" s="1"/>
  <c r="AJ13" i="11" s="1" a="1"/>
  <c r="AJ13" i="11" s="1"/>
  <c r="AI9" i="11"/>
  <c r="AH9" i="11"/>
  <c r="AG9" i="11"/>
  <c r="AG12" i="11" s="1" a="1"/>
  <c r="AG12" i="11" s="1"/>
  <c r="AG13" i="11" s="1" a="1"/>
  <c r="AG13" i="11" s="1"/>
  <c r="AF9" i="11"/>
  <c r="AF12" i="11" s="1" a="1"/>
  <c r="AF12" i="11" s="1"/>
  <c r="AF13" i="11" s="1" a="1"/>
  <c r="AF13" i="11" s="1"/>
  <c r="AE9" i="11"/>
  <c r="AE12" i="11" s="1" a="1"/>
  <c r="AE12" i="11" s="1"/>
  <c r="AE13" i="11" s="1" a="1"/>
  <c r="AE13" i="11" s="1"/>
  <c r="AD9" i="11"/>
  <c r="AD12" i="11" s="1" a="1"/>
  <c r="AD12" i="11" s="1"/>
  <c r="AD13" i="11" s="1" a="1"/>
  <c r="AD13" i="11" s="1"/>
  <c r="AC9" i="11"/>
  <c r="AC12" i="11" s="1" a="1"/>
  <c r="AC12" i="11" s="1"/>
  <c r="AC13" i="11" s="1" a="1"/>
  <c r="AC13" i="11" s="1"/>
  <c r="AB9" i="11"/>
  <c r="AA9" i="11"/>
  <c r="AA12" i="11" s="1" a="1"/>
  <c r="AA12" i="11" s="1"/>
  <c r="AA13" i="11" s="1" a="1"/>
  <c r="AA13" i="11" s="1"/>
  <c r="Z9" i="11"/>
  <c r="Z12" i="11" s="1" a="1"/>
  <c r="Z12" i="11" s="1"/>
  <c r="Z13" i="11" s="1" a="1"/>
  <c r="Z13" i="11" s="1"/>
  <c r="Y9" i="11"/>
  <c r="Y12" i="11" s="1" a="1"/>
  <c r="Y12" i="11" s="1"/>
  <c r="Y13" i="11" s="1" a="1"/>
  <c r="Y13" i="11" s="1"/>
  <c r="X9" i="11"/>
  <c r="X12" i="11" s="1" a="1"/>
  <c r="X12" i="11" s="1"/>
  <c r="X13" i="11" s="1" a="1"/>
  <c r="X13" i="11" s="1"/>
  <c r="W9" i="11"/>
  <c r="V9" i="11"/>
  <c r="U9" i="11"/>
  <c r="U12" i="11" s="1" a="1"/>
  <c r="U12" i="11" s="1"/>
  <c r="U13" i="11" s="1" a="1"/>
  <c r="U13" i="11" s="1"/>
  <c r="T9" i="11"/>
  <c r="T12" i="11" s="1" a="1"/>
  <c r="T12" i="11" s="1"/>
  <c r="T13" i="11" s="1" a="1"/>
  <c r="T13" i="11" s="1"/>
  <c r="S9" i="11"/>
  <c r="S12" i="11" s="1" a="1"/>
  <c r="S12" i="11" s="1"/>
  <c r="S13" i="11" s="1" a="1"/>
  <c r="S13" i="11" s="1"/>
  <c r="R9" i="11"/>
  <c r="R12" i="11" s="1" a="1"/>
  <c r="R12" i="11" s="1"/>
  <c r="R13" i="11" s="1" a="1"/>
  <c r="R13" i="11" s="1"/>
  <c r="Q9" i="11"/>
  <c r="Q12" i="11" s="1" a="1"/>
  <c r="Q12" i="11" s="1"/>
  <c r="Q13" i="11" s="1" a="1"/>
  <c r="Q13" i="11" s="1"/>
  <c r="P9" i="11"/>
  <c r="O9" i="11"/>
  <c r="O12" i="11" s="1" a="1"/>
  <c r="O12" i="11" s="1"/>
  <c r="O13" i="11" s="1" a="1"/>
  <c r="O13" i="11" s="1"/>
  <c r="N9" i="11"/>
  <c r="N12" i="11" s="1" a="1"/>
  <c r="N12" i="11" s="1"/>
  <c r="N13" i="11" s="1" a="1"/>
  <c r="N13" i="11" s="1"/>
  <c r="M9" i="11"/>
  <c r="M12" i="11" s="1" a="1"/>
  <c r="M12" i="11" s="1"/>
  <c r="M13" i="11" s="1" a="1"/>
  <c r="M13" i="11" s="1"/>
  <c r="L9" i="11"/>
  <c r="L12" i="11" s="1" a="1"/>
  <c r="L12" i="11" s="1"/>
  <c r="L13" i="11" s="1" a="1"/>
  <c r="L13" i="11" s="1"/>
  <c r="K9" i="11"/>
  <c r="J9" i="11"/>
  <c r="I9" i="11"/>
  <c r="I12" i="11" s="1" a="1"/>
  <c r="I12" i="11" s="1"/>
  <c r="I13" i="11" s="1" a="1"/>
  <c r="I13" i="11" s="1"/>
  <c r="H9" i="11"/>
  <c r="H12" i="11" s="1" a="1"/>
  <c r="H12" i="11" s="1"/>
  <c r="H13" i="11" s="1" a="1"/>
  <c r="H13" i="11" s="1"/>
  <c r="G9" i="11"/>
  <c r="G12" i="11" s="1" a="1"/>
  <c r="G12" i="11" s="1"/>
  <c r="G13" i="11" s="1" a="1"/>
  <c r="G13" i="11" s="1"/>
  <c r="F9" i="11"/>
  <c r="F12" i="11" s="1" a="1"/>
  <c r="F12" i="11" s="1"/>
  <c r="F13" i="11" s="1" a="1"/>
  <c r="F13" i="11" s="1"/>
  <c r="E9" i="11"/>
  <c r="E12" i="11" s="1" a="1"/>
  <c r="E12" i="11" s="1"/>
  <c r="E13" i="11" s="1" a="1"/>
  <c r="E13" i="11" s="1"/>
  <c r="D9" i="11"/>
  <c r="C9" i="11"/>
  <c r="C12" i="11" s="1" a="1"/>
  <c r="C12" i="11" s="1"/>
  <c r="C13" i="11" s="1" a="1"/>
  <c r="C13" i="11" s="1"/>
  <c r="B9" i="11"/>
  <c r="B12" i="11" s="1" a="1"/>
  <c r="B12" i="11" s="1"/>
  <c r="B13" i="11" s="1" a="1"/>
  <c r="B13" i="11" s="1"/>
  <c r="N90" i="1"/>
  <c r="K65" i="1"/>
  <c r="K87" i="1"/>
  <c r="K148" i="1"/>
  <c r="K20" i="1"/>
  <c r="K108" i="1"/>
  <c r="K38" i="1"/>
  <c r="K95" i="1"/>
  <c r="K71" i="1"/>
  <c r="K152" i="1"/>
  <c r="K115" i="1"/>
  <c r="K17" i="1"/>
  <c r="K160" i="1"/>
  <c r="K63" i="1"/>
  <c r="K137" i="1"/>
  <c r="K156" i="1"/>
  <c r="K22" i="1"/>
  <c r="K56" i="1"/>
  <c r="K68" i="1"/>
  <c r="K141" i="1"/>
  <c r="K25" i="1"/>
  <c r="K46" i="1"/>
  <c r="K11" i="1"/>
  <c r="K110" i="1"/>
  <c r="K183" i="1"/>
  <c r="K55" i="1"/>
  <c r="K133" i="1"/>
  <c r="K131" i="1"/>
  <c r="K121" i="1"/>
  <c r="K85" i="1"/>
  <c r="K81" i="1"/>
  <c r="K136" i="1"/>
  <c r="K2" i="1"/>
  <c r="K29" i="1"/>
  <c r="K144" i="1"/>
  <c r="K165" i="1"/>
  <c r="K159" i="1"/>
  <c r="K51" i="1"/>
  <c r="K166" i="1"/>
  <c r="K21" i="1"/>
  <c r="K79" i="1"/>
  <c r="K18" i="1"/>
  <c r="K83" i="1"/>
  <c r="K126" i="1"/>
  <c r="K168" i="1"/>
  <c r="K124" i="1"/>
  <c r="K100" i="1"/>
  <c r="K162" i="1"/>
  <c r="K185" i="1"/>
  <c r="K186" i="1"/>
  <c r="K47" i="1"/>
  <c r="K37" i="1"/>
  <c r="K34" i="1"/>
  <c r="K52" i="1"/>
  <c r="K23" i="1"/>
  <c r="K97" i="1"/>
  <c r="K174" i="1"/>
  <c r="K43" i="1"/>
  <c r="K40" i="1"/>
  <c r="K86" i="1"/>
  <c r="K170" i="1"/>
  <c r="K33" i="1"/>
  <c r="K82" i="1"/>
  <c r="K15" i="1"/>
  <c r="K127" i="1"/>
  <c r="K164" i="1"/>
  <c r="K149" i="1"/>
  <c r="K28" i="1"/>
  <c r="K169" i="1"/>
  <c r="K187" i="1"/>
  <c r="K96" i="1"/>
  <c r="K150" i="1"/>
  <c r="K35" i="1"/>
  <c r="K45" i="1"/>
  <c r="K69" i="1"/>
  <c r="K188" i="1"/>
  <c r="K12" i="1"/>
  <c r="K105" i="1"/>
  <c r="K184" i="1"/>
  <c r="K77" i="1"/>
  <c r="K67" i="1"/>
  <c r="K142" i="1"/>
  <c r="K88" i="1"/>
  <c r="K157" i="1"/>
  <c r="K36" i="1"/>
  <c r="K125" i="1"/>
  <c r="K132" i="1"/>
  <c r="K94" i="1"/>
  <c r="K147" i="1"/>
  <c r="K78" i="1"/>
  <c r="K39" i="1"/>
  <c r="K57" i="1"/>
  <c r="K138" i="1"/>
  <c r="K75" i="1"/>
  <c r="K176" i="1"/>
  <c r="K139" i="1"/>
  <c r="K41" i="1"/>
  <c r="K19" i="1"/>
  <c r="K61" i="1"/>
  <c r="K16" i="1"/>
  <c r="K172" i="1"/>
  <c r="K123" i="1"/>
  <c r="K114" i="1"/>
  <c r="K80" i="1"/>
  <c r="K44" i="1"/>
  <c r="K180" i="1"/>
  <c r="K109" i="1"/>
  <c r="K113" i="1"/>
  <c r="K175" i="1"/>
  <c r="K106" i="1"/>
  <c r="K179" i="1"/>
  <c r="K117" i="1"/>
  <c r="K91" i="1"/>
  <c r="K154" i="1"/>
  <c r="K116" i="1"/>
  <c r="K24" i="1"/>
  <c r="K119" i="1"/>
  <c r="K3" i="1"/>
  <c r="K10" i="1"/>
  <c r="K99" i="1"/>
  <c r="K8" i="1"/>
  <c r="K182" i="1"/>
  <c r="K98" i="1"/>
  <c r="K158" i="1"/>
  <c r="K42" i="1"/>
  <c r="K58" i="1"/>
  <c r="K178" i="1"/>
  <c r="K103" i="1"/>
  <c r="K145" i="1"/>
  <c r="K66" i="1"/>
  <c r="K13" i="1"/>
  <c r="K76" i="1"/>
  <c r="K92" i="1"/>
  <c r="K27" i="1"/>
  <c r="K112" i="1"/>
  <c r="K93" i="1"/>
  <c r="K181" i="1"/>
  <c r="K64" i="1"/>
  <c r="K101" i="1"/>
  <c r="K53" i="1"/>
  <c r="K146" i="1"/>
  <c r="K163" i="1"/>
  <c r="K107" i="1"/>
  <c r="K171" i="1"/>
  <c r="K135" i="1"/>
  <c r="K128" i="1"/>
  <c r="K84" i="1"/>
  <c r="K4" i="1"/>
  <c r="K30" i="1"/>
  <c r="K102" i="1"/>
  <c r="K155" i="1"/>
  <c r="K104" i="1"/>
  <c r="K129" i="1"/>
  <c r="K48" i="1"/>
  <c r="K70" i="1"/>
  <c r="K161" i="1"/>
  <c r="K50" i="1"/>
  <c r="K60" i="1"/>
  <c r="K111" i="1"/>
  <c r="K54" i="1"/>
  <c r="K74" i="1"/>
  <c r="K5" i="1"/>
  <c r="K153" i="1"/>
  <c r="K6" i="1"/>
  <c r="K177" i="1"/>
  <c r="K130" i="1"/>
  <c r="K32" i="1"/>
  <c r="K173" i="1"/>
  <c r="K7" i="1"/>
  <c r="K89" i="1"/>
  <c r="K140" i="1"/>
  <c r="K120" i="1"/>
  <c r="K167" i="1"/>
  <c r="K26" i="1"/>
  <c r="K143" i="1"/>
  <c r="K62" i="1"/>
  <c r="K151" i="1"/>
  <c r="K9" i="1"/>
  <c r="K118" i="1"/>
  <c r="K59" i="1"/>
  <c r="K73" i="1"/>
  <c r="K134" i="1"/>
  <c r="K31" i="1"/>
  <c r="K122" i="1"/>
  <c r="K49" i="1"/>
  <c r="K72" i="1"/>
  <c r="K14" i="1"/>
  <c r="K90" i="1"/>
  <c r="I65" i="1"/>
  <c r="L65" i="1" s="1" a="1"/>
  <c r="L65" i="1" s="1"/>
  <c r="M65" i="1" s="1" a="1"/>
  <c r="M65" i="1" s="1"/>
  <c r="I87" i="1"/>
  <c r="L87" i="1" s="1" a="1"/>
  <c r="L87" i="1" s="1"/>
  <c r="M87" i="1" s="1" a="1"/>
  <c r="M87" i="1" s="1"/>
  <c r="I148" i="1"/>
  <c r="L148" i="1" s="1" a="1"/>
  <c r="L148" i="1" s="1"/>
  <c r="M148" i="1" s="1" a="1"/>
  <c r="M148" i="1" s="1"/>
  <c r="I20" i="1"/>
  <c r="L20" i="1" s="1" a="1"/>
  <c r="L20" i="1" s="1"/>
  <c r="M20" i="1" s="1" a="1"/>
  <c r="M20" i="1" s="1"/>
  <c r="I108" i="1"/>
  <c r="L108" i="1" s="1" a="1"/>
  <c r="L108" i="1" s="1"/>
  <c r="M108" i="1" s="1" a="1"/>
  <c r="M108" i="1" s="1"/>
  <c r="I38" i="1"/>
  <c r="L38" i="1" s="1" a="1"/>
  <c r="L38" i="1" s="1"/>
  <c r="M38" i="1" s="1" a="1"/>
  <c r="M38" i="1" s="1"/>
  <c r="I95" i="1"/>
  <c r="L95" i="1" s="1" a="1"/>
  <c r="L95" i="1" s="1"/>
  <c r="M95" i="1" s="1" a="1"/>
  <c r="M95" i="1" s="1"/>
  <c r="I71" i="1"/>
  <c r="L71" i="1" s="1" a="1"/>
  <c r="L71" i="1" s="1"/>
  <c r="M71" i="1" s="1" a="1"/>
  <c r="M71" i="1" s="1"/>
  <c r="I152" i="1"/>
  <c r="L152" i="1" s="1" a="1"/>
  <c r="L152" i="1" s="1"/>
  <c r="M152" i="1" s="1" a="1"/>
  <c r="M152" i="1" s="1"/>
  <c r="I115" i="1"/>
  <c r="L115" i="1" s="1" a="1"/>
  <c r="L115" i="1" s="1"/>
  <c r="M115" i="1" s="1" a="1"/>
  <c r="M115" i="1" s="1"/>
  <c r="I17" i="1"/>
  <c r="L17" i="1" s="1" a="1"/>
  <c r="L17" i="1" s="1"/>
  <c r="M17" i="1" s="1" a="1"/>
  <c r="M17" i="1" s="1"/>
  <c r="I160" i="1"/>
  <c r="L160" i="1" s="1" a="1"/>
  <c r="L160" i="1" s="1"/>
  <c r="M160" i="1" s="1" a="1"/>
  <c r="M160" i="1" s="1"/>
  <c r="I63" i="1"/>
  <c r="L63" i="1" s="1" a="1"/>
  <c r="L63" i="1" s="1"/>
  <c r="M63" i="1" s="1" a="1"/>
  <c r="M63" i="1" s="1"/>
  <c r="I137" i="1"/>
  <c r="L137" i="1" s="1" a="1"/>
  <c r="L137" i="1" s="1"/>
  <c r="M137" i="1" s="1" a="1"/>
  <c r="M137" i="1" s="1"/>
  <c r="I156" i="1"/>
  <c r="L156" i="1" s="1" a="1"/>
  <c r="L156" i="1" s="1"/>
  <c r="M156" i="1" s="1" a="1"/>
  <c r="M156" i="1" s="1"/>
  <c r="I22" i="1"/>
  <c r="L22" i="1" s="1" a="1"/>
  <c r="L22" i="1" s="1"/>
  <c r="M22" i="1" s="1" a="1"/>
  <c r="M22" i="1" s="1"/>
  <c r="I56" i="1"/>
  <c r="L56" i="1" s="1" a="1"/>
  <c r="L56" i="1" s="1"/>
  <c r="M56" i="1" s="1" a="1"/>
  <c r="M56" i="1" s="1"/>
  <c r="I68" i="1"/>
  <c r="L68" i="1" s="1" a="1"/>
  <c r="L68" i="1" s="1"/>
  <c r="M68" i="1" s="1" a="1"/>
  <c r="M68" i="1" s="1"/>
  <c r="I141" i="1"/>
  <c r="L141" i="1" s="1" a="1"/>
  <c r="L141" i="1" s="1"/>
  <c r="M141" i="1" s="1" a="1"/>
  <c r="M141" i="1" s="1"/>
  <c r="I25" i="1"/>
  <c r="L25" i="1" s="1" a="1"/>
  <c r="L25" i="1" s="1"/>
  <c r="M25" i="1" s="1" a="1"/>
  <c r="M25" i="1" s="1"/>
  <c r="I46" i="1"/>
  <c r="L46" i="1" s="1" a="1"/>
  <c r="L46" i="1" s="1"/>
  <c r="M46" i="1" s="1" a="1"/>
  <c r="M46" i="1" s="1"/>
  <c r="I11" i="1"/>
  <c r="L11" i="1" s="1" a="1"/>
  <c r="L11" i="1" s="1"/>
  <c r="M11" i="1" s="1" a="1"/>
  <c r="M11" i="1" s="1"/>
  <c r="I110" i="1"/>
  <c r="L110" i="1" s="1" a="1"/>
  <c r="L110" i="1" s="1"/>
  <c r="M110" i="1" s="1" a="1"/>
  <c r="M110" i="1" s="1"/>
  <c r="I183" i="1"/>
  <c r="L183" i="1" s="1" a="1"/>
  <c r="L183" i="1" s="1"/>
  <c r="M183" i="1" s="1" a="1"/>
  <c r="M183" i="1" s="1"/>
  <c r="I55" i="1"/>
  <c r="L55" i="1" s="1" a="1"/>
  <c r="L55" i="1" s="1"/>
  <c r="M55" i="1" s="1" a="1"/>
  <c r="M55" i="1" s="1"/>
  <c r="I133" i="1"/>
  <c r="L133" i="1" s="1" a="1"/>
  <c r="L133" i="1" s="1"/>
  <c r="M133" i="1" s="1" a="1"/>
  <c r="M133" i="1" s="1"/>
  <c r="I131" i="1"/>
  <c r="L131" i="1" s="1" a="1"/>
  <c r="L131" i="1" s="1"/>
  <c r="M131" i="1" s="1" a="1"/>
  <c r="M131" i="1" s="1"/>
  <c r="I121" i="1"/>
  <c r="L121" i="1" s="1" a="1"/>
  <c r="L121" i="1" s="1"/>
  <c r="M121" i="1" s="1" a="1"/>
  <c r="M121" i="1" s="1"/>
  <c r="I85" i="1"/>
  <c r="L85" i="1" s="1" a="1"/>
  <c r="L85" i="1" s="1"/>
  <c r="M85" i="1" s="1" a="1"/>
  <c r="M85" i="1" s="1"/>
  <c r="I81" i="1"/>
  <c r="L81" i="1" s="1" a="1"/>
  <c r="L81" i="1" s="1"/>
  <c r="M81" i="1" s="1" a="1"/>
  <c r="M81" i="1" s="1"/>
  <c r="I136" i="1"/>
  <c r="L136" i="1" s="1" a="1"/>
  <c r="L136" i="1" s="1"/>
  <c r="M136" i="1" s="1" a="1"/>
  <c r="M136" i="1" s="1"/>
  <c r="I2" i="1"/>
  <c r="L2" i="1" s="1" a="1"/>
  <c r="L2" i="1" s="1"/>
  <c r="M2" i="1" s="1" a="1"/>
  <c r="M2" i="1" s="1"/>
  <c r="I29" i="1"/>
  <c r="L29" i="1" s="1" a="1"/>
  <c r="L29" i="1" s="1"/>
  <c r="M29" i="1" s="1" a="1"/>
  <c r="M29" i="1" s="1"/>
  <c r="I144" i="1"/>
  <c r="L144" i="1" s="1" a="1"/>
  <c r="L144" i="1" s="1"/>
  <c r="M144" i="1" s="1" a="1"/>
  <c r="M144" i="1" s="1"/>
  <c r="I165" i="1"/>
  <c r="L165" i="1" s="1" a="1"/>
  <c r="L165" i="1" s="1"/>
  <c r="M165" i="1" s="1" a="1"/>
  <c r="M165" i="1" s="1"/>
  <c r="I159" i="1"/>
  <c r="L159" i="1" s="1" a="1"/>
  <c r="L159" i="1" s="1"/>
  <c r="M159" i="1" s="1" a="1"/>
  <c r="M159" i="1" s="1"/>
  <c r="I51" i="1"/>
  <c r="L51" i="1" s="1" a="1"/>
  <c r="L51" i="1" s="1"/>
  <c r="M51" i="1" s="1" a="1"/>
  <c r="M51" i="1" s="1"/>
  <c r="I166" i="1"/>
  <c r="L166" i="1" s="1" a="1"/>
  <c r="L166" i="1" s="1"/>
  <c r="M166" i="1" s="1" a="1"/>
  <c r="M166" i="1" s="1"/>
  <c r="I21" i="1"/>
  <c r="L21" i="1" s="1" a="1"/>
  <c r="L21" i="1" s="1"/>
  <c r="M21" i="1" s="1" a="1"/>
  <c r="M21" i="1" s="1"/>
  <c r="I79" i="1"/>
  <c r="L79" i="1" s="1" a="1"/>
  <c r="L79" i="1" s="1"/>
  <c r="M79" i="1" s="1" a="1"/>
  <c r="M79" i="1" s="1"/>
  <c r="I18" i="1"/>
  <c r="L18" i="1" s="1" a="1"/>
  <c r="L18" i="1" s="1"/>
  <c r="M18" i="1" s="1" a="1"/>
  <c r="M18" i="1" s="1"/>
  <c r="I83" i="1"/>
  <c r="L83" i="1" s="1" a="1"/>
  <c r="L83" i="1" s="1"/>
  <c r="M83" i="1" s="1" a="1"/>
  <c r="M83" i="1" s="1"/>
  <c r="I126" i="1"/>
  <c r="L126" i="1" s="1" a="1"/>
  <c r="L126" i="1" s="1"/>
  <c r="M126" i="1" s="1" a="1"/>
  <c r="M126" i="1" s="1"/>
  <c r="I168" i="1"/>
  <c r="L168" i="1" s="1" a="1"/>
  <c r="L168" i="1" s="1"/>
  <c r="M168" i="1" s="1" a="1"/>
  <c r="M168" i="1" s="1"/>
  <c r="I124" i="1"/>
  <c r="L124" i="1" s="1" a="1"/>
  <c r="L124" i="1" s="1"/>
  <c r="M124" i="1" s="1" a="1"/>
  <c r="M124" i="1" s="1"/>
  <c r="I100" i="1"/>
  <c r="L100" i="1" s="1" a="1"/>
  <c r="L100" i="1" s="1"/>
  <c r="M100" i="1" s="1" a="1"/>
  <c r="M100" i="1" s="1"/>
  <c r="I162" i="1"/>
  <c r="L162" i="1" s="1" a="1"/>
  <c r="L162" i="1" s="1"/>
  <c r="M162" i="1" s="1" a="1"/>
  <c r="M162" i="1" s="1"/>
  <c r="I185" i="1"/>
  <c r="L185" i="1" s="1" a="1"/>
  <c r="L185" i="1" s="1"/>
  <c r="M185" i="1" s="1" a="1"/>
  <c r="M185" i="1" s="1"/>
  <c r="I186" i="1"/>
  <c r="L186" i="1" s="1" a="1"/>
  <c r="L186" i="1" s="1"/>
  <c r="M186" i="1" s="1" a="1"/>
  <c r="M186" i="1" s="1"/>
  <c r="I47" i="1"/>
  <c r="L47" i="1" s="1" a="1"/>
  <c r="L47" i="1" s="1"/>
  <c r="M47" i="1" s="1" a="1"/>
  <c r="M47" i="1" s="1"/>
  <c r="I37" i="1"/>
  <c r="L37" i="1" s="1" a="1"/>
  <c r="L37" i="1" s="1"/>
  <c r="M37" i="1" s="1" a="1"/>
  <c r="M37" i="1" s="1"/>
  <c r="I34" i="1"/>
  <c r="L34" i="1" s="1" a="1"/>
  <c r="L34" i="1" s="1"/>
  <c r="M34" i="1" s="1" a="1"/>
  <c r="M34" i="1" s="1"/>
  <c r="I52" i="1"/>
  <c r="L52" i="1" s="1" a="1"/>
  <c r="L52" i="1" s="1"/>
  <c r="M52" i="1" s="1" a="1"/>
  <c r="M52" i="1" s="1"/>
  <c r="I23" i="1"/>
  <c r="L23" i="1" s="1" a="1"/>
  <c r="L23" i="1" s="1"/>
  <c r="M23" i="1" s="1" a="1"/>
  <c r="M23" i="1" s="1"/>
  <c r="I97" i="1"/>
  <c r="L97" i="1" s="1" a="1"/>
  <c r="L97" i="1" s="1"/>
  <c r="M97" i="1" s="1" a="1"/>
  <c r="M97" i="1" s="1"/>
  <c r="I174" i="1"/>
  <c r="L174" i="1" s="1" a="1"/>
  <c r="L174" i="1" s="1"/>
  <c r="M174" i="1" s="1" a="1"/>
  <c r="M174" i="1" s="1"/>
  <c r="I43" i="1"/>
  <c r="L43" i="1" s="1" a="1"/>
  <c r="L43" i="1" s="1"/>
  <c r="M43" i="1" s="1" a="1"/>
  <c r="M43" i="1" s="1"/>
  <c r="I40" i="1"/>
  <c r="L40" i="1" s="1" a="1"/>
  <c r="L40" i="1" s="1"/>
  <c r="M40" i="1" s="1" a="1"/>
  <c r="M40" i="1" s="1"/>
  <c r="I86" i="1"/>
  <c r="L86" i="1" s="1" a="1"/>
  <c r="L86" i="1" s="1"/>
  <c r="M86" i="1" s="1" a="1"/>
  <c r="M86" i="1" s="1"/>
  <c r="I170" i="1"/>
  <c r="L170" i="1" s="1" a="1"/>
  <c r="L170" i="1" s="1"/>
  <c r="M170" i="1" s="1" a="1"/>
  <c r="M170" i="1" s="1"/>
  <c r="I33" i="1"/>
  <c r="L33" i="1" s="1" a="1"/>
  <c r="L33" i="1" s="1"/>
  <c r="M33" i="1" s="1" a="1"/>
  <c r="M33" i="1" s="1"/>
  <c r="I82" i="1"/>
  <c r="L82" i="1" s="1" a="1"/>
  <c r="L82" i="1" s="1"/>
  <c r="M82" i="1" s="1" a="1"/>
  <c r="M82" i="1" s="1"/>
  <c r="I15" i="1"/>
  <c r="L15" i="1" s="1" a="1"/>
  <c r="L15" i="1" s="1"/>
  <c r="M15" i="1" s="1" a="1"/>
  <c r="M15" i="1" s="1"/>
  <c r="I127" i="1"/>
  <c r="L127" i="1" s="1" a="1"/>
  <c r="L127" i="1" s="1"/>
  <c r="M127" i="1" s="1" a="1"/>
  <c r="M127" i="1" s="1"/>
  <c r="I164" i="1"/>
  <c r="L164" i="1" s="1" a="1"/>
  <c r="L164" i="1" s="1"/>
  <c r="M164" i="1" s="1" a="1"/>
  <c r="M164" i="1" s="1"/>
  <c r="I149" i="1"/>
  <c r="L149" i="1" s="1" a="1"/>
  <c r="L149" i="1" s="1"/>
  <c r="M149" i="1" s="1" a="1"/>
  <c r="M149" i="1" s="1"/>
  <c r="I28" i="1"/>
  <c r="L28" i="1" s="1" a="1"/>
  <c r="L28" i="1" s="1"/>
  <c r="M28" i="1" s="1" a="1"/>
  <c r="M28" i="1" s="1"/>
  <c r="I169" i="1"/>
  <c r="L169" i="1" s="1" a="1"/>
  <c r="L169" i="1" s="1"/>
  <c r="M169" i="1" s="1" a="1"/>
  <c r="M169" i="1" s="1"/>
  <c r="I187" i="1"/>
  <c r="L187" i="1" s="1" a="1"/>
  <c r="L187" i="1" s="1"/>
  <c r="M187" i="1" s="1" a="1"/>
  <c r="M187" i="1" s="1"/>
  <c r="I96" i="1"/>
  <c r="L96" i="1" s="1" a="1"/>
  <c r="L96" i="1" s="1"/>
  <c r="M96" i="1" s="1" a="1"/>
  <c r="M96" i="1" s="1"/>
  <c r="I150" i="1"/>
  <c r="L150" i="1" s="1" a="1"/>
  <c r="L150" i="1" s="1"/>
  <c r="M150" i="1" s="1" a="1"/>
  <c r="M150" i="1" s="1"/>
  <c r="I35" i="1"/>
  <c r="L35" i="1" s="1" a="1"/>
  <c r="L35" i="1" s="1"/>
  <c r="M35" i="1" s="1" a="1"/>
  <c r="M35" i="1" s="1"/>
  <c r="I45" i="1"/>
  <c r="L45" i="1" s="1" a="1"/>
  <c r="L45" i="1" s="1"/>
  <c r="M45" i="1" s="1" a="1"/>
  <c r="M45" i="1" s="1"/>
  <c r="I69" i="1"/>
  <c r="L69" i="1" s="1" a="1"/>
  <c r="L69" i="1" s="1"/>
  <c r="M69" i="1" s="1" a="1"/>
  <c r="M69" i="1" s="1"/>
  <c r="I188" i="1"/>
  <c r="L188" i="1" s="1" a="1"/>
  <c r="L188" i="1" s="1"/>
  <c r="M188" i="1" s="1" a="1"/>
  <c r="M188" i="1" s="1"/>
  <c r="I12" i="1"/>
  <c r="L12" i="1" s="1" a="1"/>
  <c r="L12" i="1" s="1"/>
  <c r="M12" i="1" s="1" a="1"/>
  <c r="M12" i="1" s="1"/>
  <c r="I105" i="1"/>
  <c r="L105" i="1" s="1" a="1"/>
  <c r="L105" i="1" s="1"/>
  <c r="M105" i="1" s="1" a="1"/>
  <c r="M105" i="1" s="1"/>
  <c r="I184" i="1"/>
  <c r="L184" i="1" s="1" a="1"/>
  <c r="L184" i="1" s="1"/>
  <c r="M184" i="1" s="1" a="1"/>
  <c r="M184" i="1" s="1"/>
  <c r="I77" i="1"/>
  <c r="L77" i="1" s="1" a="1"/>
  <c r="L77" i="1" s="1"/>
  <c r="M77" i="1" s="1" a="1"/>
  <c r="M77" i="1" s="1"/>
  <c r="I67" i="1"/>
  <c r="L67" i="1" s="1" a="1"/>
  <c r="L67" i="1" s="1"/>
  <c r="M67" i="1" s="1" a="1"/>
  <c r="M67" i="1" s="1"/>
  <c r="I142" i="1"/>
  <c r="L142" i="1" s="1" a="1"/>
  <c r="L142" i="1" s="1"/>
  <c r="M142" i="1" s="1" a="1"/>
  <c r="M142" i="1" s="1"/>
  <c r="I88" i="1"/>
  <c r="L88" i="1" s="1" a="1"/>
  <c r="L88" i="1" s="1"/>
  <c r="M88" i="1" s="1" a="1"/>
  <c r="M88" i="1" s="1"/>
  <c r="I157" i="1"/>
  <c r="L157" i="1" s="1" a="1"/>
  <c r="L157" i="1" s="1"/>
  <c r="M157" i="1" s="1" a="1"/>
  <c r="M157" i="1" s="1"/>
  <c r="I36" i="1"/>
  <c r="L36" i="1" s="1" a="1"/>
  <c r="L36" i="1" s="1"/>
  <c r="M36" i="1" s="1" a="1"/>
  <c r="M36" i="1" s="1"/>
  <c r="I125" i="1"/>
  <c r="L125" i="1" s="1" a="1"/>
  <c r="L125" i="1" s="1"/>
  <c r="M125" i="1" s="1" a="1"/>
  <c r="M125" i="1" s="1"/>
  <c r="I132" i="1"/>
  <c r="L132" i="1" s="1" a="1"/>
  <c r="L132" i="1" s="1"/>
  <c r="M132" i="1" s="1" a="1"/>
  <c r="M132" i="1" s="1"/>
  <c r="I94" i="1"/>
  <c r="L94" i="1" s="1" a="1"/>
  <c r="L94" i="1" s="1"/>
  <c r="M94" i="1" s="1" a="1"/>
  <c r="M94" i="1" s="1"/>
  <c r="I147" i="1"/>
  <c r="L147" i="1" s="1" a="1"/>
  <c r="L147" i="1" s="1"/>
  <c r="M147" i="1" s="1" a="1"/>
  <c r="M147" i="1" s="1"/>
  <c r="I78" i="1"/>
  <c r="L78" i="1" s="1" a="1"/>
  <c r="L78" i="1" s="1"/>
  <c r="M78" i="1" s="1" a="1"/>
  <c r="M78" i="1" s="1"/>
  <c r="I39" i="1"/>
  <c r="L39" i="1" s="1" a="1"/>
  <c r="L39" i="1" s="1"/>
  <c r="M39" i="1" s="1" a="1"/>
  <c r="M39" i="1" s="1"/>
  <c r="I57" i="1"/>
  <c r="L57" i="1" s="1" a="1"/>
  <c r="L57" i="1" s="1"/>
  <c r="M57" i="1" s="1" a="1"/>
  <c r="M57" i="1" s="1"/>
  <c r="I138" i="1"/>
  <c r="L138" i="1" s="1" a="1"/>
  <c r="L138" i="1" s="1"/>
  <c r="M138" i="1" s="1" a="1"/>
  <c r="M138" i="1" s="1"/>
  <c r="I75" i="1"/>
  <c r="L75" i="1" s="1" a="1"/>
  <c r="L75" i="1" s="1"/>
  <c r="M75" i="1" s="1" a="1"/>
  <c r="M75" i="1" s="1"/>
  <c r="I176" i="1"/>
  <c r="L176" i="1" s="1" a="1"/>
  <c r="L176" i="1" s="1"/>
  <c r="M176" i="1" s="1" a="1"/>
  <c r="M176" i="1" s="1"/>
  <c r="I139" i="1"/>
  <c r="L139" i="1" s="1" a="1"/>
  <c r="L139" i="1" s="1"/>
  <c r="M139" i="1" s="1" a="1"/>
  <c r="M139" i="1" s="1"/>
  <c r="I41" i="1"/>
  <c r="L41" i="1" s="1" a="1"/>
  <c r="L41" i="1" s="1"/>
  <c r="M41" i="1" s="1" a="1"/>
  <c r="M41" i="1" s="1"/>
  <c r="I19" i="1"/>
  <c r="L19" i="1" s="1" a="1"/>
  <c r="L19" i="1" s="1"/>
  <c r="M19" i="1" s="1" a="1"/>
  <c r="M19" i="1" s="1"/>
  <c r="I61" i="1"/>
  <c r="L61" i="1" s="1" a="1"/>
  <c r="L61" i="1" s="1"/>
  <c r="M61" i="1" s="1" a="1"/>
  <c r="M61" i="1" s="1"/>
  <c r="I16" i="1"/>
  <c r="L16" i="1" s="1" a="1"/>
  <c r="L16" i="1" s="1"/>
  <c r="M16" i="1" s="1" a="1"/>
  <c r="M16" i="1" s="1"/>
  <c r="I172" i="1"/>
  <c r="L172" i="1" s="1" a="1"/>
  <c r="L172" i="1" s="1"/>
  <c r="M172" i="1" s="1" a="1"/>
  <c r="M172" i="1" s="1"/>
  <c r="I123" i="1"/>
  <c r="L123" i="1" s="1" a="1"/>
  <c r="L123" i="1" s="1"/>
  <c r="M123" i="1" s="1" a="1"/>
  <c r="M123" i="1" s="1"/>
  <c r="I114" i="1"/>
  <c r="L114" i="1" s="1" a="1"/>
  <c r="L114" i="1" s="1"/>
  <c r="M114" i="1" s="1" a="1"/>
  <c r="M114" i="1" s="1"/>
  <c r="I80" i="1"/>
  <c r="L80" i="1" s="1" a="1"/>
  <c r="L80" i="1" s="1"/>
  <c r="M80" i="1" s="1" a="1"/>
  <c r="M80" i="1" s="1"/>
  <c r="I44" i="1"/>
  <c r="L44" i="1" s="1" a="1"/>
  <c r="L44" i="1" s="1"/>
  <c r="M44" i="1" s="1" a="1"/>
  <c r="M44" i="1" s="1"/>
  <c r="I180" i="1"/>
  <c r="L180" i="1" s="1" a="1"/>
  <c r="L180" i="1" s="1"/>
  <c r="M180" i="1" s="1" a="1"/>
  <c r="M180" i="1" s="1"/>
  <c r="I109" i="1"/>
  <c r="L109" i="1" s="1" a="1"/>
  <c r="L109" i="1" s="1"/>
  <c r="M109" i="1" s="1" a="1"/>
  <c r="M109" i="1" s="1"/>
  <c r="I113" i="1"/>
  <c r="L113" i="1" s="1" a="1"/>
  <c r="L113" i="1" s="1"/>
  <c r="M113" i="1" s="1" a="1"/>
  <c r="M113" i="1" s="1"/>
  <c r="I175" i="1"/>
  <c r="L175" i="1" s="1" a="1"/>
  <c r="L175" i="1" s="1"/>
  <c r="M175" i="1" s="1" a="1"/>
  <c r="M175" i="1" s="1"/>
  <c r="I106" i="1"/>
  <c r="L106" i="1" s="1" a="1"/>
  <c r="L106" i="1" s="1"/>
  <c r="M106" i="1" s="1" a="1"/>
  <c r="M106" i="1" s="1"/>
  <c r="I179" i="1"/>
  <c r="L179" i="1" s="1" a="1"/>
  <c r="L179" i="1" s="1"/>
  <c r="M179" i="1" s="1" a="1"/>
  <c r="M179" i="1" s="1"/>
  <c r="I117" i="1"/>
  <c r="L117" i="1" s="1" a="1"/>
  <c r="L117" i="1" s="1"/>
  <c r="M117" i="1" s="1" a="1"/>
  <c r="M117" i="1" s="1"/>
  <c r="I91" i="1"/>
  <c r="L91" i="1" s="1" a="1"/>
  <c r="L91" i="1" s="1"/>
  <c r="M91" i="1" s="1" a="1"/>
  <c r="M91" i="1" s="1"/>
  <c r="I154" i="1"/>
  <c r="L154" i="1" s="1" a="1"/>
  <c r="L154" i="1" s="1"/>
  <c r="M154" i="1" s="1" a="1"/>
  <c r="M154" i="1" s="1"/>
  <c r="I116" i="1"/>
  <c r="L116" i="1" s="1" a="1"/>
  <c r="L116" i="1" s="1"/>
  <c r="M116" i="1" s="1" a="1"/>
  <c r="M116" i="1" s="1"/>
  <c r="I24" i="1"/>
  <c r="L24" i="1" s="1" a="1"/>
  <c r="L24" i="1" s="1"/>
  <c r="M24" i="1" s="1" a="1"/>
  <c r="M24" i="1" s="1"/>
  <c r="I119" i="1"/>
  <c r="L119" i="1" s="1" a="1"/>
  <c r="L119" i="1" s="1"/>
  <c r="M119" i="1" s="1" a="1"/>
  <c r="M119" i="1" s="1"/>
  <c r="I3" i="1"/>
  <c r="L3" i="1" s="1" a="1"/>
  <c r="L3" i="1" s="1"/>
  <c r="M3" i="1" s="1" a="1"/>
  <c r="M3" i="1" s="1"/>
  <c r="I10" i="1"/>
  <c r="L10" i="1" s="1" a="1"/>
  <c r="L10" i="1" s="1"/>
  <c r="M10" i="1" s="1" a="1"/>
  <c r="M10" i="1" s="1"/>
  <c r="I99" i="1"/>
  <c r="L99" i="1" s="1" a="1"/>
  <c r="L99" i="1" s="1"/>
  <c r="M99" i="1" s="1" a="1"/>
  <c r="M99" i="1" s="1"/>
  <c r="I8" i="1"/>
  <c r="L8" i="1" s="1" a="1"/>
  <c r="L8" i="1" s="1"/>
  <c r="M8" i="1" s="1" a="1"/>
  <c r="M8" i="1" s="1"/>
  <c r="I182" i="1"/>
  <c r="L182" i="1" s="1" a="1"/>
  <c r="L182" i="1" s="1"/>
  <c r="M182" i="1" s="1" a="1"/>
  <c r="M182" i="1" s="1"/>
  <c r="I98" i="1"/>
  <c r="L98" i="1" s="1" a="1"/>
  <c r="L98" i="1" s="1"/>
  <c r="M98" i="1" s="1" a="1"/>
  <c r="M98" i="1" s="1"/>
  <c r="I158" i="1"/>
  <c r="L158" i="1" s="1" a="1"/>
  <c r="L158" i="1" s="1"/>
  <c r="M158" i="1" s="1" a="1"/>
  <c r="M158" i="1" s="1"/>
  <c r="I42" i="1"/>
  <c r="L42" i="1" s="1" a="1"/>
  <c r="L42" i="1" s="1"/>
  <c r="M42" i="1" s="1" a="1"/>
  <c r="M42" i="1" s="1"/>
  <c r="I58" i="1"/>
  <c r="L58" i="1" s="1" a="1"/>
  <c r="L58" i="1" s="1"/>
  <c r="M58" i="1" s="1" a="1"/>
  <c r="M58" i="1" s="1"/>
  <c r="I178" i="1"/>
  <c r="L178" i="1" s="1" a="1"/>
  <c r="L178" i="1" s="1"/>
  <c r="M178" i="1" s="1" a="1"/>
  <c r="M178" i="1" s="1"/>
  <c r="I103" i="1"/>
  <c r="L103" i="1" s="1" a="1"/>
  <c r="L103" i="1" s="1"/>
  <c r="M103" i="1" s="1" a="1"/>
  <c r="M103" i="1" s="1"/>
  <c r="I145" i="1"/>
  <c r="L145" i="1" s="1" a="1"/>
  <c r="L145" i="1" s="1"/>
  <c r="M145" i="1" s="1" a="1"/>
  <c r="M145" i="1" s="1"/>
  <c r="I66" i="1"/>
  <c r="L66" i="1" s="1" a="1"/>
  <c r="L66" i="1" s="1"/>
  <c r="M66" i="1" s="1" a="1"/>
  <c r="M66" i="1" s="1"/>
  <c r="I13" i="1"/>
  <c r="L13" i="1" s="1" a="1"/>
  <c r="L13" i="1" s="1"/>
  <c r="M13" i="1" s="1" a="1"/>
  <c r="M13" i="1" s="1"/>
  <c r="I76" i="1"/>
  <c r="L76" i="1" s="1" a="1"/>
  <c r="L76" i="1" s="1"/>
  <c r="M76" i="1" s="1" a="1"/>
  <c r="M76" i="1" s="1"/>
  <c r="I92" i="1"/>
  <c r="L92" i="1" s="1" a="1"/>
  <c r="L92" i="1" s="1"/>
  <c r="M92" i="1" s="1" a="1"/>
  <c r="M92" i="1" s="1"/>
  <c r="I27" i="1"/>
  <c r="L27" i="1" s="1" a="1"/>
  <c r="L27" i="1" s="1"/>
  <c r="M27" i="1" s="1" a="1"/>
  <c r="M27" i="1" s="1"/>
  <c r="I112" i="1"/>
  <c r="L112" i="1" s="1" a="1"/>
  <c r="L112" i="1" s="1"/>
  <c r="M112" i="1" s="1" a="1"/>
  <c r="M112" i="1" s="1"/>
  <c r="I93" i="1"/>
  <c r="L93" i="1" s="1" a="1"/>
  <c r="L93" i="1" s="1"/>
  <c r="M93" i="1" s="1" a="1"/>
  <c r="M93" i="1" s="1"/>
  <c r="I181" i="1"/>
  <c r="L181" i="1" s="1" a="1"/>
  <c r="L181" i="1" s="1"/>
  <c r="M181" i="1" s="1" a="1"/>
  <c r="M181" i="1" s="1"/>
  <c r="I64" i="1"/>
  <c r="L64" i="1" s="1" a="1"/>
  <c r="L64" i="1" s="1"/>
  <c r="M64" i="1" s="1" a="1"/>
  <c r="M64" i="1" s="1"/>
  <c r="I101" i="1"/>
  <c r="L101" i="1" s="1" a="1"/>
  <c r="L101" i="1" s="1"/>
  <c r="M101" i="1" s="1" a="1"/>
  <c r="M101" i="1" s="1"/>
  <c r="I53" i="1"/>
  <c r="L53" i="1" s="1" a="1"/>
  <c r="L53" i="1" s="1"/>
  <c r="M53" i="1" s="1" a="1"/>
  <c r="M53" i="1" s="1"/>
  <c r="I146" i="1"/>
  <c r="L146" i="1" s="1" a="1"/>
  <c r="L146" i="1" s="1"/>
  <c r="M146" i="1" s="1" a="1"/>
  <c r="M146" i="1" s="1"/>
  <c r="I163" i="1"/>
  <c r="L163" i="1" s="1" a="1"/>
  <c r="L163" i="1" s="1"/>
  <c r="M163" i="1" s="1" a="1"/>
  <c r="M163" i="1" s="1"/>
  <c r="I107" i="1"/>
  <c r="L107" i="1" s="1" a="1"/>
  <c r="L107" i="1" s="1"/>
  <c r="M107" i="1" s="1" a="1"/>
  <c r="M107" i="1" s="1"/>
  <c r="I171" i="1"/>
  <c r="L171" i="1" s="1" a="1"/>
  <c r="L171" i="1" s="1"/>
  <c r="M171" i="1" s="1" a="1"/>
  <c r="M171" i="1" s="1"/>
  <c r="I135" i="1"/>
  <c r="L135" i="1" s="1" a="1"/>
  <c r="L135" i="1" s="1"/>
  <c r="M135" i="1" s="1" a="1"/>
  <c r="M135" i="1" s="1"/>
  <c r="I128" i="1"/>
  <c r="L128" i="1" s="1" a="1"/>
  <c r="L128" i="1" s="1"/>
  <c r="M128" i="1" s="1" a="1"/>
  <c r="M128" i="1" s="1"/>
  <c r="I84" i="1"/>
  <c r="L84" i="1" s="1" a="1"/>
  <c r="L84" i="1" s="1"/>
  <c r="M84" i="1" s="1" a="1"/>
  <c r="M84" i="1" s="1"/>
  <c r="I4" i="1"/>
  <c r="L4" i="1" s="1" a="1"/>
  <c r="L4" i="1" s="1"/>
  <c r="M4" i="1" s="1" a="1"/>
  <c r="M4" i="1" s="1"/>
  <c r="I30" i="1"/>
  <c r="L30" i="1" s="1" a="1"/>
  <c r="L30" i="1" s="1"/>
  <c r="M30" i="1" s="1" a="1"/>
  <c r="M30" i="1" s="1"/>
  <c r="I102" i="1"/>
  <c r="L102" i="1" s="1" a="1"/>
  <c r="L102" i="1" s="1"/>
  <c r="M102" i="1" s="1" a="1"/>
  <c r="M102" i="1" s="1"/>
  <c r="I155" i="1"/>
  <c r="L155" i="1" s="1" a="1"/>
  <c r="L155" i="1" s="1"/>
  <c r="M155" i="1" s="1" a="1"/>
  <c r="M155" i="1" s="1"/>
  <c r="I104" i="1"/>
  <c r="L104" i="1" s="1" a="1"/>
  <c r="L104" i="1" s="1"/>
  <c r="M104" i="1" s="1" a="1"/>
  <c r="M104" i="1" s="1"/>
  <c r="I129" i="1"/>
  <c r="L129" i="1" s="1" a="1"/>
  <c r="L129" i="1" s="1"/>
  <c r="M129" i="1" s="1" a="1"/>
  <c r="M129" i="1" s="1"/>
  <c r="I48" i="1"/>
  <c r="L48" i="1" s="1" a="1"/>
  <c r="L48" i="1" s="1"/>
  <c r="M48" i="1" s="1" a="1"/>
  <c r="M48" i="1" s="1"/>
  <c r="I70" i="1"/>
  <c r="L70" i="1" s="1" a="1"/>
  <c r="L70" i="1" s="1"/>
  <c r="M70" i="1" s="1" a="1"/>
  <c r="M70" i="1" s="1"/>
  <c r="I161" i="1"/>
  <c r="L161" i="1" s="1" a="1"/>
  <c r="L161" i="1" s="1"/>
  <c r="M161" i="1" s="1" a="1"/>
  <c r="M161" i="1" s="1"/>
  <c r="I50" i="1"/>
  <c r="L50" i="1" s="1" a="1"/>
  <c r="L50" i="1" s="1"/>
  <c r="M50" i="1" s="1" a="1"/>
  <c r="M50" i="1" s="1"/>
  <c r="I60" i="1"/>
  <c r="L60" i="1" s="1" a="1"/>
  <c r="L60" i="1" s="1"/>
  <c r="M60" i="1" s="1" a="1"/>
  <c r="M60" i="1" s="1"/>
  <c r="I111" i="1"/>
  <c r="L111" i="1" s="1" a="1"/>
  <c r="L111" i="1" s="1"/>
  <c r="M111" i="1" s="1" a="1"/>
  <c r="M111" i="1" s="1"/>
  <c r="I54" i="1"/>
  <c r="L54" i="1" s="1" a="1"/>
  <c r="L54" i="1" s="1"/>
  <c r="M54" i="1" s="1" a="1"/>
  <c r="M54" i="1" s="1"/>
  <c r="I74" i="1"/>
  <c r="L74" i="1" s="1" a="1"/>
  <c r="L74" i="1" s="1"/>
  <c r="M74" i="1" s="1" a="1"/>
  <c r="M74" i="1" s="1"/>
  <c r="I5" i="1"/>
  <c r="L5" i="1" s="1" a="1"/>
  <c r="L5" i="1" s="1"/>
  <c r="M5" i="1" s="1" a="1"/>
  <c r="M5" i="1" s="1"/>
  <c r="I153" i="1"/>
  <c r="L153" i="1" s="1" a="1"/>
  <c r="L153" i="1" s="1"/>
  <c r="M153" i="1" s="1" a="1"/>
  <c r="M153" i="1" s="1"/>
  <c r="I6" i="1"/>
  <c r="L6" i="1" s="1" a="1"/>
  <c r="L6" i="1" s="1"/>
  <c r="M6" i="1" s="1" a="1"/>
  <c r="M6" i="1" s="1"/>
  <c r="I177" i="1"/>
  <c r="L177" i="1" s="1" a="1"/>
  <c r="L177" i="1" s="1"/>
  <c r="M177" i="1" s="1" a="1"/>
  <c r="M177" i="1" s="1"/>
  <c r="I130" i="1"/>
  <c r="L130" i="1" s="1" a="1"/>
  <c r="L130" i="1" s="1"/>
  <c r="M130" i="1" s="1" a="1"/>
  <c r="M130" i="1" s="1"/>
  <c r="I32" i="1"/>
  <c r="L32" i="1" s="1" a="1"/>
  <c r="L32" i="1" s="1"/>
  <c r="M32" i="1" s="1" a="1"/>
  <c r="M32" i="1" s="1"/>
  <c r="I173" i="1"/>
  <c r="L173" i="1" s="1" a="1"/>
  <c r="L173" i="1" s="1"/>
  <c r="M173" i="1" s="1" a="1"/>
  <c r="M173" i="1" s="1"/>
  <c r="I7" i="1"/>
  <c r="L7" i="1" s="1" a="1"/>
  <c r="L7" i="1" s="1"/>
  <c r="M7" i="1" s="1" a="1"/>
  <c r="M7" i="1" s="1"/>
  <c r="I89" i="1"/>
  <c r="L89" i="1" s="1" a="1"/>
  <c r="L89" i="1" s="1"/>
  <c r="M89" i="1" s="1" a="1"/>
  <c r="M89" i="1" s="1"/>
  <c r="I140" i="1"/>
  <c r="L140" i="1" s="1" a="1"/>
  <c r="L140" i="1" s="1"/>
  <c r="M140" i="1" s="1" a="1"/>
  <c r="M140" i="1" s="1"/>
  <c r="I120" i="1"/>
  <c r="L120" i="1" s="1" a="1"/>
  <c r="L120" i="1" s="1"/>
  <c r="M120" i="1" s="1" a="1"/>
  <c r="M120" i="1" s="1"/>
  <c r="I167" i="1"/>
  <c r="L167" i="1" s="1" a="1"/>
  <c r="L167" i="1" s="1"/>
  <c r="M167" i="1" s="1" a="1"/>
  <c r="M167" i="1" s="1"/>
  <c r="I26" i="1"/>
  <c r="L26" i="1" s="1" a="1"/>
  <c r="L26" i="1" s="1"/>
  <c r="M26" i="1" s="1" a="1"/>
  <c r="M26" i="1" s="1"/>
  <c r="I143" i="1"/>
  <c r="L143" i="1" s="1" a="1"/>
  <c r="L143" i="1" s="1"/>
  <c r="M143" i="1" s="1" a="1"/>
  <c r="M143" i="1" s="1"/>
  <c r="I62" i="1"/>
  <c r="L62" i="1" s="1" a="1"/>
  <c r="L62" i="1" s="1"/>
  <c r="M62" i="1" s="1" a="1"/>
  <c r="M62" i="1" s="1"/>
  <c r="I151" i="1"/>
  <c r="L151" i="1" s="1" a="1"/>
  <c r="L151" i="1" s="1"/>
  <c r="M151" i="1" s="1" a="1"/>
  <c r="M151" i="1" s="1"/>
  <c r="I9" i="1"/>
  <c r="L9" i="1" s="1" a="1"/>
  <c r="L9" i="1" s="1"/>
  <c r="M9" i="1" s="1" a="1"/>
  <c r="M9" i="1" s="1"/>
  <c r="I118" i="1"/>
  <c r="L118" i="1" s="1" a="1"/>
  <c r="L118" i="1" s="1"/>
  <c r="M118" i="1" s="1" a="1"/>
  <c r="M118" i="1" s="1"/>
  <c r="I59" i="1"/>
  <c r="L59" i="1" s="1" a="1"/>
  <c r="L59" i="1" s="1"/>
  <c r="M59" i="1" s="1" a="1"/>
  <c r="M59" i="1" s="1"/>
  <c r="I73" i="1"/>
  <c r="L73" i="1" s="1" a="1"/>
  <c r="L73" i="1" s="1"/>
  <c r="M73" i="1" s="1" a="1"/>
  <c r="M73" i="1" s="1"/>
  <c r="I134" i="1"/>
  <c r="L134" i="1" s="1" a="1"/>
  <c r="L134" i="1" s="1"/>
  <c r="M134" i="1" s="1" a="1"/>
  <c r="M134" i="1" s="1"/>
  <c r="I31" i="1"/>
  <c r="L31" i="1" s="1" a="1"/>
  <c r="L31" i="1" s="1"/>
  <c r="M31" i="1" s="1" a="1"/>
  <c r="M31" i="1" s="1"/>
  <c r="I122" i="1"/>
  <c r="L122" i="1" s="1" a="1"/>
  <c r="L122" i="1" s="1"/>
  <c r="M122" i="1" s="1" a="1"/>
  <c r="M122" i="1" s="1"/>
  <c r="I49" i="1"/>
  <c r="L49" i="1" s="1" a="1"/>
  <c r="L49" i="1" s="1"/>
  <c r="M49" i="1" s="1" a="1"/>
  <c r="M49" i="1" s="1"/>
  <c r="I72" i="1"/>
  <c r="L72" i="1" s="1" a="1"/>
  <c r="L72" i="1" s="1"/>
  <c r="M72" i="1" s="1" a="1"/>
  <c r="M72" i="1" s="1"/>
  <c r="I14" i="1"/>
  <c r="L14" i="1" s="1" a="1"/>
  <c r="L14" i="1" s="1"/>
  <c r="M14" i="1" s="1" a="1"/>
  <c r="M14" i="1" s="1"/>
  <c r="I90" i="1"/>
  <c r="L90" i="1" s="1" a="1"/>
  <c r="L90" i="1" s="1"/>
  <c r="M90" i="1" s="1" a="1"/>
  <c r="M90" i="1" s="1"/>
  <c r="J65" i="1"/>
  <c r="J87" i="1"/>
  <c r="J148" i="1"/>
  <c r="J20" i="1"/>
  <c r="J108" i="1"/>
  <c r="J38" i="1"/>
  <c r="J95" i="1"/>
  <c r="J71" i="1"/>
  <c r="J152" i="1"/>
  <c r="J115" i="1"/>
  <c r="J17" i="1"/>
  <c r="J160" i="1"/>
  <c r="J63" i="1"/>
  <c r="J137" i="1"/>
  <c r="J156" i="1"/>
  <c r="J22" i="1"/>
  <c r="J56" i="1"/>
  <c r="J68" i="1"/>
  <c r="J141" i="1"/>
  <c r="J25" i="1"/>
  <c r="J46" i="1"/>
  <c r="J11" i="1"/>
  <c r="J110" i="1"/>
  <c r="J183" i="1"/>
  <c r="J55" i="1"/>
  <c r="J133" i="1"/>
  <c r="J131" i="1"/>
  <c r="J121" i="1"/>
  <c r="J85" i="1"/>
  <c r="J81" i="1"/>
  <c r="J136" i="1"/>
  <c r="J2" i="1"/>
  <c r="J29" i="1"/>
  <c r="J144" i="1"/>
  <c r="J165" i="1"/>
  <c r="J159" i="1"/>
  <c r="J51" i="1"/>
  <c r="J166" i="1"/>
  <c r="J21" i="1"/>
  <c r="J79" i="1"/>
  <c r="J18" i="1"/>
  <c r="J83" i="1"/>
  <c r="J126" i="1"/>
  <c r="J168" i="1"/>
  <c r="J124" i="1"/>
  <c r="J100" i="1"/>
  <c r="J162" i="1"/>
  <c r="J185" i="1"/>
  <c r="J186" i="1"/>
  <c r="J47" i="1"/>
  <c r="J37" i="1"/>
  <c r="J34" i="1"/>
  <c r="J52" i="1"/>
  <c r="J23" i="1"/>
  <c r="J97" i="1"/>
  <c r="J174" i="1"/>
  <c r="J43" i="1"/>
  <c r="J40" i="1"/>
  <c r="J86" i="1"/>
  <c r="J170" i="1"/>
  <c r="J33" i="1"/>
  <c r="J82" i="1"/>
  <c r="J15" i="1"/>
  <c r="J127" i="1"/>
  <c r="J164" i="1"/>
  <c r="J149" i="1"/>
  <c r="J28" i="1"/>
  <c r="J169" i="1"/>
  <c r="J187" i="1"/>
  <c r="J96" i="1"/>
  <c r="J150" i="1"/>
  <c r="J35" i="1"/>
  <c r="J45" i="1"/>
  <c r="J69" i="1"/>
  <c r="J188" i="1"/>
  <c r="J12" i="1"/>
  <c r="J105" i="1"/>
  <c r="J184" i="1"/>
  <c r="J77" i="1"/>
  <c r="J67" i="1"/>
  <c r="J142" i="1"/>
  <c r="J88" i="1"/>
  <c r="J157" i="1"/>
  <c r="J36" i="1"/>
  <c r="J125" i="1"/>
  <c r="J132" i="1"/>
  <c r="J94" i="1"/>
  <c r="J147" i="1"/>
  <c r="J78" i="1"/>
  <c r="J39" i="1"/>
  <c r="J57" i="1"/>
  <c r="J138" i="1"/>
  <c r="J75" i="1"/>
  <c r="J176" i="1"/>
  <c r="J139" i="1"/>
  <c r="J41" i="1"/>
  <c r="J19" i="1"/>
  <c r="J61" i="1"/>
  <c r="J16" i="1"/>
  <c r="J172" i="1"/>
  <c r="J123" i="1"/>
  <c r="J114" i="1"/>
  <c r="J80" i="1"/>
  <c r="J44" i="1"/>
  <c r="J180" i="1"/>
  <c r="J109" i="1"/>
  <c r="J113" i="1"/>
  <c r="J175" i="1"/>
  <c r="J106" i="1"/>
  <c r="J179" i="1"/>
  <c r="J117" i="1"/>
  <c r="J91" i="1"/>
  <c r="J154" i="1"/>
  <c r="J116" i="1"/>
  <c r="J24" i="1"/>
  <c r="J119" i="1"/>
  <c r="J3" i="1"/>
  <c r="J10" i="1"/>
  <c r="J99" i="1"/>
  <c r="J8" i="1"/>
  <c r="J182" i="1"/>
  <c r="J98" i="1"/>
  <c r="J158" i="1"/>
  <c r="J42" i="1"/>
  <c r="J58" i="1"/>
  <c r="J178" i="1"/>
  <c r="J103" i="1"/>
  <c r="J145" i="1"/>
  <c r="J66" i="1"/>
  <c r="J13" i="1"/>
  <c r="J76" i="1"/>
  <c r="J92" i="1"/>
  <c r="J27" i="1"/>
  <c r="J112" i="1"/>
  <c r="J93" i="1"/>
  <c r="J181" i="1"/>
  <c r="J64" i="1"/>
  <c r="J101" i="1"/>
  <c r="J53" i="1"/>
  <c r="J146" i="1"/>
  <c r="J163" i="1"/>
  <c r="J107" i="1"/>
  <c r="J171" i="1"/>
  <c r="J135" i="1"/>
  <c r="J128" i="1"/>
  <c r="J84" i="1"/>
  <c r="J4" i="1"/>
  <c r="J30" i="1"/>
  <c r="J102" i="1"/>
  <c r="J155" i="1"/>
  <c r="J104" i="1"/>
  <c r="J129" i="1"/>
  <c r="J48" i="1"/>
  <c r="J70" i="1"/>
  <c r="J161" i="1"/>
  <c r="J50" i="1"/>
  <c r="J60" i="1"/>
  <c r="J111" i="1"/>
  <c r="J54" i="1"/>
  <c r="J74" i="1"/>
  <c r="J5" i="1"/>
  <c r="J153" i="1"/>
  <c r="J6" i="1"/>
  <c r="J177" i="1"/>
  <c r="J130" i="1"/>
  <c r="J32" i="1"/>
  <c r="J173" i="1"/>
  <c r="J7" i="1"/>
  <c r="J89" i="1"/>
  <c r="J140" i="1"/>
  <c r="J120" i="1"/>
  <c r="J167" i="1"/>
  <c r="J26" i="1"/>
  <c r="J143" i="1"/>
  <c r="J62" i="1"/>
  <c r="J151" i="1"/>
  <c r="J9" i="1"/>
  <c r="J118" i="1"/>
  <c r="J59" i="1"/>
  <c r="J73" i="1"/>
  <c r="J134" i="1"/>
  <c r="J31" i="1"/>
  <c r="J122" i="1"/>
  <c r="J49" i="1"/>
  <c r="J72" i="1"/>
  <c r="J14" i="1"/>
  <c r="J9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<sst xmlns="http://schemas.openxmlformats.org/spreadsheetml/2006/main" count="797" uniqueCount="223">
  <si>
    <t>Country/Region</t>
  </si>
  <si>
    <t>Confirmed</t>
  </si>
  <si>
    <t>Deaths</t>
  </si>
  <si>
    <t>Recovered</t>
  </si>
  <si>
    <t>Active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</si>
  <si>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</si>
  <si>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</si>
  <si>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</si>
  <si>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</si>
  <si>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</si>
  <si>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</si>
  <si>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</si>
  <si>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</si>
  <si>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</si>
  <si>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</si>
  <si>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</si>
  <si>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</si>
  <si>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</si>
  <si>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</si>
  <si>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</si>
  <si>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</si>
  <si>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</si>
  <si>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</si>
  <si>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</si>
  <si>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</si>
  <si>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</si>
  <si>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</si>
  <si>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</si>
  <si>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</si>
  <si>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</si>
  <si>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</si>
  <si>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</si>
  <si>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</si>
  <si>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</si>
  <si>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</si>
  <si>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</si>
  <si>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</si>
  <si>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</si>
  <si>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</si>
  <si>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</si>
  <si>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</si>
  <si>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</si>
  <si>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</si>
  <si>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</si>
  <si>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</si>
  <si>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</si>
  <si>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</si>
  <si>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</si>
  <si>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</si>
  <si>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</si>
  <si>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</si>
  <si>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</si>
  <si>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</si>
  <si>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</si>
  <si>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</si>
  <si>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</si>
  <si>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</si>
  <si>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</si>
  <si>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</si>
  <si>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</si>
  <si>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</si>
  <si>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</si>
  <si>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</si>
  <si>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</si>
  <si>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</si>
  <si>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</si>
  <si>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</si>
  <si>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</si>
  <si>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</si>
  <si>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</si>
  <si>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</si>
  <si>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</si>
  <si>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</si>
  <si>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</si>
  <si>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</si>
  <si>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</si>
  <si>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</si>
  <si>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</si>
  <si>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</si>
  <si>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</si>
  <si>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</si>
  <si>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</si>
  <si>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</si>
  <si>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</si>
  <si>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</si>
  <si>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</si>
  <si>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</si>
  <si>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</si>
  <si>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</si>
  <si>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</si>
  <si>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</si>
  <si>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</si>
  <si>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</si>
  <si>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</si>
  <si>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</si>
  <si>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</si>
  <si>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</si>
  <si>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</si>
  <si>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</si>
  <si>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</si>
  <si>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</si>
  <si>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</si>
  <si>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</si>
  <si>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</si>
  <si>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</si>
  <si>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</si>
  <si>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</si>
  <si>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</si>
  <si>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</si>
  <si>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</si>
  <si>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</si>
  <si>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</si>
  <si>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</si>
  <si>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</si>
  <si>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</si>
  <si>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</si>
  <si>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</si>
  <si>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</si>
  <si>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</si>
  <si>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</si>
  <si>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</si>
  <si>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</si>
  <si>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</si>
  <si>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</si>
  <si>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</si>
  <si>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</si>
  <si>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</si>
  <si>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</si>
  <si>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</si>
  <si>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</si>
  <si>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</si>
  <si>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</si>
  <si>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</si>
  <si>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</si>
  <si>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</si>
  <si>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</si>
  <si>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</si>
  <si>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</si>
  <si>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</si>
  <si>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</si>
  <si>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</si>
  <si>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</si>
  <si>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</si>
  <si>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</si>
  <si>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</si>
  <si>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</si>
  <si>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</si>
  <si>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</si>
  <si>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</si>
  <si>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</si>
  <si>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</si>
  <si>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</si>
  <si>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</si>
  <si>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</si>
  <si>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</si>
  <si>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</si>
  <si>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</si>
  <si>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</si>
  <si>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</si>
  <si>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</si>
  <si>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</si>
  <si>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</si>
  <si>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</si>
  <si>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</si>
  <si>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</si>
  <si>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</si>
  <si>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</si>
  <si>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</si>
  <si>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</si>
  <si>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</si>
  <si>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</si>
  <si>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</si>
  <si>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</si>
  <si>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</si>
  <si>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</si>
  <si>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</si>
  <si>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</si>
  <si>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</si>
  <si>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</si>
  <si>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</si>
  <si>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United Kingdom</t>
  </si>
  <si>
    <t>Uruguay</t>
  </si>
  <si>
    <t>Uzbekistan</t>
  </si>
  <si>
    <t>Venezuela</t>
  </si>
  <si>
    <t>Vietnam</t>
  </si>
  <si>
    <t>West Bank and Gaza</t>
  </si>
  <si>
    <t>Western Sahara</t>
  </si>
  <si>
    <t>Yemen</t>
  </si>
  <si>
    <t>Zambia</t>
  </si>
  <si>
    <t>Zimbabwe</t>
  </si>
  <si>
    <t>Taiwan</t>
  </si>
  <si>
    <t>Myanmar</t>
  </si>
  <si>
    <t>Population</t>
  </si>
  <si>
    <t>Continent</t>
  </si>
  <si>
    <t>Date of First Case</t>
  </si>
  <si>
    <t>Asia</t>
  </si>
  <si>
    <t>Europe</t>
  </si>
  <si>
    <t>Africa</t>
  </si>
  <si>
    <t>North America</t>
  </si>
  <si>
    <t>South America</t>
  </si>
  <si>
    <t>Australia/Oceania</t>
  </si>
  <si>
    <t>1269</t>
  </si>
  <si>
    <t>9796</t>
  </si>
  <si>
    <t>39009447</t>
  </si>
  <si>
    <t> 17224679</t>
  </si>
  <si>
    <t>DEATH RATES</t>
  </si>
  <si>
    <t>RECOVERY RATE</t>
  </si>
  <si>
    <t>INFECTION RATE</t>
  </si>
  <si>
    <t>RISK LABEL</t>
  </si>
  <si>
    <t>ICON SET</t>
  </si>
  <si>
    <t>HLOOKUP</t>
  </si>
  <si>
    <t xml:space="preserve">ANSWER - 1 </t>
  </si>
  <si>
    <t xml:space="preserve">Asia has the highest recovery rate among all the continents with 71.91%  recovery rate </t>
  </si>
  <si>
    <t>ANSWER - 2</t>
  </si>
  <si>
    <t>ANSWER - 3</t>
  </si>
  <si>
    <t xml:space="preserve">The relationship between population size and and the number of confirmed cases is that the larger the population the greater the total number of confirmed cases </t>
  </si>
  <si>
    <t>The High Risk category includes countries such as Andorra, Belgium, Bolivia, Brazil, Chad, Chile, China, Colombia, Ecuador, Egypt, France, Guyana, Hungary, Iran, Italy, Jamaica</t>
  </si>
  <si>
    <t>Mexico, Netherlands, Niger, Nigeria, San Marino, Saudi Arabia, Slovenia, Spain, Sudan, Sweden, Switzerland, Syria, Trinidad and Tobago, United Kingdom, Western Sahara, Yemen</t>
  </si>
  <si>
    <t>ANSWER - 4</t>
  </si>
  <si>
    <t xml:space="preserve">The country which handled the pandemic most efficiently is Brunei , In handeling Brunei was the one who handled the pandemic with larger confimed cases and larger population </t>
  </si>
  <si>
    <t xml:space="preserve">and they still managed a 97.87% of recovery rate as of recovery rate country like Dominica had a 100% recovery rate because of less confirmed cases </t>
  </si>
  <si>
    <t>ANSWER - 5</t>
  </si>
  <si>
    <t>Data validation,Bar charts and Icon sets were the most helpful for comparing countries and summarzing the cause of 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</si>
</sst>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5" fontId="0" fillId="0" borderId="0" xfId="0" applyNumberFormat="1"/>
    <xf numFmtId="0" fontId="0" fillId="0" borderId="0" xfId="0" applyAlignment="1">
      <alignment horizontal="right" indent="1"/>
    </xf>
    <xf numFmtId="1" fontId="0" fillId="0" borderId="0" xfId="0" applyNumberFormat="1" applyAlignment="1">
      <alignment horizontal="right" indent="1"/>
    </xf>
    <xf numFmtId="14" fontId="0" fillId="0" borderId="0" xfId="0" applyNumberFormat="1" applyAlignment="1">
      <alignment horizontal="right" indent="1"/>
    </xf>
    <xf numFmtId="0" fontId="1" fillId="2" borderId="2" xfId="0" applyFont="1" applyFill="1" applyBorder="1" applyAlignment="1">
      <alignment horizontal="left" vertical="center" indent="1"/>
    </xf>
    <xf numFmtId="0" fontId="0" fillId="3" borderId="2" xfId="0" applyFill="1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0" fillId="3" borderId="5" xfId="0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right" vertical="center"/>
    </xf>
    <xf numFmtId="1" fontId="1" fillId="2" borderId="2" xfId="0" applyNumberFormat="1" applyFont="1" applyFill="1" applyBorder="1" applyAlignment="1">
      <alignment horizontal="right" vertical="center"/>
    </xf>
    <xf numFmtId="14" fontId="2" fillId="2" borderId="3" xfId="0" applyNumberFormat="1" applyFont="1" applyFill="1" applyBorder="1" applyAlignment="1">
      <alignment horizontal="right" vertical="center"/>
    </xf>
    <xf numFmtId="0" fontId="0" fillId="3" borderId="2" xfId="0" applyFill="1" applyBorder="1" applyAlignment="1">
      <alignment horizontal="right" vertical="center"/>
    </xf>
    <xf numFmtId="164" fontId="0" fillId="3" borderId="3" xfId="0" applyNumberFormat="1" applyFill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1" fontId="0" fillId="3" borderId="2" xfId="0" applyNumberFormat="1" applyFill="1" applyBorder="1" applyAlignment="1">
      <alignment horizontal="right" vertical="center"/>
    </xf>
    <xf numFmtId="1" fontId="0" fillId="0" borderId="2" xfId="0" applyNumberFormat="1" applyBorder="1" applyAlignment="1">
      <alignment horizontal="right" vertical="center"/>
    </xf>
    <xf numFmtId="3" fontId="0" fillId="0" borderId="4" xfId="0" applyNumberFormat="1" applyBorder="1" applyAlignment="1">
      <alignment vertical="center"/>
    </xf>
    <xf numFmtId="0" fontId="0" fillId="3" borderId="5" xfId="0" applyFill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0" fontId="0" fillId="0" borderId="0" xfId="0" applyAlignment="1">
      <alignment horizontal="left" indent="2"/>
    </xf>
    <xf numFmtId="0" fontId="0" fillId="0" borderId="0" xfId="0" applyAlignment="1">
      <alignment horizontal="left" vertical="center" indent="3"/>
    </xf>
    <xf numFmtId="2" fontId="0" fillId="0" borderId="0" xfId="0" applyNumberFormat="1"/>
    <xf numFmtId="0" fontId="4" fillId="0" borderId="0" xfId="0" applyFont="1"/>
    <xf numFmtId="3" fontId="0" fillId="0" borderId="2" xfId="0" applyNumberFormat="1" applyBorder="1" applyAlignment="1">
      <alignment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left" vertical="center" indent="1"/>
    </xf>
    <xf numFmtId="0" fontId="0" fillId="0" borderId="5" xfId="0" applyBorder="1" applyAlignment="1">
      <alignment horizontal="right" vertical="center"/>
    </xf>
    <xf numFmtId="1" fontId="0" fillId="0" borderId="5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6"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8326176"/>
        <c:axId val="948326656"/>
      </c:barChart>
      <c:catAx>
        <c:axId val="948326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326656"/>
        <c:crosses val="autoZero"/>
        <c:auto val="1"/>
        <c:lblAlgn val="ctr"/>
        <c:lblOffset val="100"/>
        <c:noMultiLvlLbl val="0"/>
      </c:catAx>
      <c:valAx>
        <c:axId val="9483266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832617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CASE TRENDS</a:t>
            </a:r>
          </a:p>
        </c:rich>
      </c:tx>
      <c:layout>
        <c:manualLayout>
          <c:xMode val="edge"/>
          <c:yMode val="edge"/>
          <c:x val="0.2941248906386702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Lit>
              <c:ptCount val="7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Nov</c:v>
              </c:pt>
              <c:pt idx="6">
                <c:v>Dec</c:v>
              </c:pt>
            </c:strLit>
          </c:cat>
          <c:val>
            <c:numLit>
              <c:formatCode>General</c:formatCode>
              <c:ptCount val="7"/>
              <c:pt idx="0">
                <c:v>8097972</c:v>
              </c:pt>
              <c:pt idx="1">
                <c:v>4565502</c:v>
              </c:pt>
              <c:pt idx="2">
                <c:v>3493247</c:v>
              </c:pt>
              <c:pt idx="3">
                <c:v>16124</c:v>
              </c:pt>
              <c:pt idx="4">
                <c:v>505</c:v>
              </c:pt>
              <c:pt idx="5">
                <c:v>86783</c:v>
              </c:pt>
              <c:pt idx="6">
                <c:v>220352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959-454A-8D52-DA04CE3C5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8271551"/>
        <c:axId val="1308270591"/>
      </c:lineChart>
      <c:catAx>
        <c:axId val="130827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270591"/>
        <c:crosses val="autoZero"/>
        <c:auto val="1"/>
        <c:lblAlgn val="ctr"/>
        <c:lblOffset val="100"/>
        <c:noMultiLvlLbl val="0"/>
      </c:catAx>
      <c:valAx>
        <c:axId val="1308270591"/>
        <c:scaling>
          <c:orientation val="minMax"/>
          <c:max val="850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27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CONFIRMED VS RECOVERED CASES </a:t>
            </a:r>
          </a:p>
        </c:rich>
      </c:tx>
      <c:layout>
        <c:manualLayout>
          <c:xMode val="edge"/>
          <c:yMode val="edge"/>
          <c:x val="0.20665966754155729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Confirmed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0"/>
              <c:pt idx="0">
                <c:v>Brazil</c:v>
              </c:pt>
              <c:pt idx="1">
                <c:v>Chile</c:v>
              </c:pt>
              <c:pt idx="2">
                <c:v>India</c:v>
              </c:pt>
              <c:pt idx="3">
                <c:v>Iran</c:v>
              </c:pt>
              <c:pt idx="4">
                <c:v>Mexico</c:v>
              </c:pt>
              <c:pt idx="5">
                <c:v>Peru</c:v>
              </c:pt>
              <c:pt idx="6">
                <c:v>Russia</c:v>
              </c:pt>
              <c:pt idx="7">
                <c:v>South Africa</c:v>
              </c:pt>
              <c:pt idx="8">
                <c:v>United Kingdom</c:v>
              </c:pt>
              <c:pt idx="9">
                <c:v>US</c:v>
              </c:pt>
            </c:strLit>
          </c:cat>
          <c:val>
            <c:numLit>
              <c:formatCode>General</c:formatCode>
              <c:ptCount val="10"/>
              <c:pt idx="0">
                <c:v>2442375</c:v>
              </c:pt>
              <c:pt idx="1">
                <c:v>347923</c:v>
              </c:pt>
              <c:pt idx="2">
                <c:v>1480073</c:v>
              </c:pt>
              <c:pt idx="3">
                <c:v>293606</c:v>
              </c:pt>
              <c:pt idx="4">
                <c:v>395489</c:v>
              </c:pt>
              <c:pt idx="5">
                <c:v>389717</c:v>
              </c:pt>
              <c:pt idx="6">
                <c:v>816680</c:v>
              </c:pt>
              <c:pt idx="7">
                <c:v>452529</c:v>
              </c:pt>
              <c:pt idx="8">
                <c:v>301708</c:v>
              </c:pt>
              <c:pt idx="9">
                <c:v>4290259</c:v>
              </c:pt>
            </c:numLit>
          </c:val>
          <c:extLst>
            <c:ext xmlns:c16="http://schemas.microsoft.com/office/drawing/2014/chart" uri="{C3380CC4-5D6E-409C-BE32-E72D297353CC}">
              <c16:uniqueId val="{00000000-F3B6-4F92-BC85-B94EB3F78C9D}"/>
            </c:ext>
          </c:extLst>
        </c:ser>
        <c:ser>
          <c:idx val="1"/>
          <c:order val="1"/>
          <c:tx>
            <c:v>Sum of Recovered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0"/>
              <c:pt idx="0">
                <c:v>Brazil</c:v>
              </c:pt>
              <c:pt idx="1">
                <c:v>Chile</c:v>
              </c:pt>
              <c:pt idx="2">
                <c:v>India</c:v>
              </c:pt>
              <c:pt idx="3">
                <c:v>Iran</c:v>
              </c:pt>
              <c:pt idx="4">
                <c:v>Mexico</c:v>
              </c:pt>
              <c:pt idx="5">
                <c:v>Peru</c:v>
              </c:pt>
              <c:pt idx="6">
                <c:v>Russia</c:v>
              </c:pt>
              <c:pt idx="7">
                <c:v>South Africa</c:v>
              </c:pt>
              <c:pt idx="8">
                <c:v>United Kingdom</c:v>
              </c:pt>
              <c:pt idx="9">
                <c:v>US</c:v>
              </c:pt>
            </c:strLit>
          </c:cat>
          <c:val>
            <c:numLit>
              <c:formatCode>General</c:formatCode>
              <c:ptCount val="10"/>
              <c:pt idx="0">
                <c:v>1846641</c:v>
              </c:pt>
              <c:pt idx="1">
                <c:v>319954</c:v>
              </c:pt>
              <c:pt idx="2">
                <c:v>951166</c:v>
              </c:pt>
              <c:pt idx="3">
                <c:v>255144</c:v>
              </c:pt>
              <c:pt idx="4">
                <c:v>303810</c:v>
              </c:pt>
              <c:pt idx="5">
                <c:v>272547</c:v>
              </c:pt>
              <c:pt idx="6">
                <c:v>602249</c:v>
              </c:pt>
              <c:pt idx="7">
                <c:v>274925</c:v>
              </c:pt>
              <c:pt idx="8">
                <c:v>1437</c:v>
              </c:pt>
              <c:pt idx="9">
                <c:v>1325804</c:v>
              </c:pt>
            </c:numLit>
          </c:val>
          <c:extLst>
            <c:ext xmlns:c16="http://schemas.microsoft.com/office/drawing/2014/chart" uri="{C3380CC4-5D6E-409C-BE32-E72D297353CC}">
              <c16:uniqueId val="{00000001-F3B6-4F92-BC85-B94EB3F78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53003839"/>
        <c:axId val="1053001919"/>
      </c:barChart>
      <c:catAx>
        <c:axId val="105300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001919"/>
        <c:crosses val="autoZero"/>
        <c:auto val="1"/>
        <c:lblAlgn val="ctr"/>
        <c:lblOffset val="100"/>
        <c:noMultiLvlLbl val="0"/>
      </c:catAx>
      <c:valAx>
        <c:axId val="1053001919"/>
        <c:scaling>
          <c:orientation val="minMax"/>
          <c:max val="450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one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00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E6D-4895-9ECC-456B7EC35FC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E6D-4895-9ECC-456B7EC35FC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E6D-4895-9ECC-456B7EC35FC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E6D-4895-9ECC-456B7EC35FC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E6D-4895-9ECC-456B7EC35FC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E6D-4895-9ECC-456B7EC35FCA}"/>
              </c:ext>
            </c:extLst>
          </c:dPt>
          <c:cat>
            <c:strLit>
              <c:ptCount val="6"/>
              <c:pt idx="0">
                <c:v>Africa</c:v>
              </c:pt>
              <c:pt idx="1">
                <c:v>Asia</c:v>
              </c:pt>
              <c:pt idx="2">
                <c:v>Australia/Oceania</c:v>
              </c:pt>
              <c:pt idx="3">
                <c:v>Europe</c:v>
              </c:pt>
              <c:pt idx="4">
                <c:v>North America</c:v>
              </c:pt>
              <c:pt idx="5">
                <c:v>South America</c:v>
              </c:pt>
            </c:strLit>
          </c:cat>
          <c:val>
            <c:numLit>
              <c:formatCode>General</c:formatCode>
              <c:ptCount val="6"/>
              <c:pt idx="0">
                <c:v>947320</c:v>
              </c:pt>
              <c:pt idx="1">
                <c:v>3946274</c:v>
              </c:pt>
              <c:pt idx="2">
                <c:v>16949</c:v>
              </c:pt>
              <c:pt idx="3">
                <c:v>2792084</c:v>
              </c:pt>
              <c:pt idx="4">
                <c:v>4997374</c:v>
              </c:pt>
              <c:pt idx="5">
                <c:v>3780484</c:v>
              </c:pt>
            </c:numLit>
          </c:val>
          <c:extLst>
            <c:ext xmlns:c16="http://schemas.microsoft.com/office/drawing/2014/chart" uri="{C3380CC4-5D6E-409C-BE32-E72D297353CC}">
              <c16:uniqueId val="{0000000C-CE6D-4895-9ECC-456B7EC35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Baskerville Old Face" panose="02020602080505020303" pitchFamily="18" charset="0"/>
                <a:ea typeface="+mn-ea"/>
                <a:cs typeface="+mn-cs"/>
              </a:defRPr>
            </a:pPr>
            <a:r>
              <a:rPr lang="en-US" sz="1200" b="1">
                <a:latin typeface="Baskerville Old Face" panose="02020602080505020303" pitchFamily="18" charset="0"/>
              </a:rPr>
              <a:t>CONFIRMED</a:t>
            </a:r>
            <a:r>
              <a:rPr lang="en-US" sz="1200" b="1" baseline="0">
                <a:latin typeface="Baskerville Old Face" panose="02020602080505020303" pitchFamily="18" charset="0"/>
              </a:rPr>
              <a:t> V DEATH RATE</a:t>
            </a:r>
            <a:endParaRPr lang="en-US" sz="1200" b="1">
              <a:latin typeface="Baskerville Old Face" panose="02020602080505020303" pitchFamily="18" charset="0"/>
            </a:endParaRPr>
          </a:p>
        </c:rich>
      </c:tx>
      <c:layout>
        <c:manualLayout>
          <c:xMode val="edge"/>
          <c:yMode val="edge"/>
          <c:x val="0.3027500000000000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Baskerville Old Face" panose="020206020805050203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v>Count of Confirmed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Lit>
              <c:ptCount val="7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Nov</c:v>
              </c:pt>
              <c:pt idx="6">
                <c:v>Dec</c:v>
              </c:pt>
            </c:strLit>
          </c:cat>
          <c:val>
            <c:numLit>
              <c:formatCode>General</c:formatCode>
              <c:ptCount val="7"/>
              <c:pt idx="0">
                <c:v>22</c:v>
              </c:pt>
              <c:pt idx="1">
                <c:v>38</c:v>
              </c:pt>
              <c:pt idx="2">
                <c:v>117</c:v>
              </c:pt>
              <c:pt idx="3">
                <c:v>7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D7FF-4CB4-B5A6-3F7BF978A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23663"/>
        <c:axId val="53424623"/>
      </c:areaChart>
      <c:barChart>
        <c:barDir val="col"/>
        <c:grouping val="clustered"/>
        <c:varyColors val="0"/>
        <c:ser>
          <c:idx val="1"/>
          <c:order val="1"/>
          <c:tx>
            <c:v>Count of DEATH RATES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7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Nov</c:v>
              </c:pt>
              <c:pt idx="6">
                <c:v>Dec</c:v>
              </c:pt>
            </c:strLit>
          </c:cat>
          <c:val>
            <c:numLit>
              <c:formatCode>General</c:formatCode>
              <c:ptCount val="7"/>
              <c:pt idx="0">
                <c:v>22</c:v>
              </c:pt>
              <c:pt idx="1">
                <c:v>38</c:v>
              </c:pt>
              <c:pt idx="2">
                <c:v>117</c:v>
              </c:pt>
              <c:pt idx="3">
                <c:v>7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D7FF-4CB4-B5A6-3F7BF978A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53423663"/>
        <c:axId val="53424623"/>
      </c:barChart>
      <c:catAx>
        <c:axId val="5342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24623"/>
        <c:crosses val="autoZero"/>
        <c:auto val="1"/>
        <c:lblAlgn val="ctr"/>
        <c:lblOffset val="100"/>
        <c:noMultiLvlLbl val="0"/>
      </c:catAx>
      <c:valAx>
        <c:axId val="53424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236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317500</xdr:colOff>
      <xdr:row>16</xdr:row>
      <xdr:rowOff>165100</xdr:rowOff>
    </xdr:from>
    <xdr:to>
      <xdr:col>29</xdr:col>
      <xdr:colOff>577850</xdr:colOff>
      <xdr:row>17</xdr:row>
      <xdr:rowOff>1905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FD6892-A473-4418-C2F7-9AC6FCF6B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3175</xdr:rowOff>
    </xdr:from>
    <xdr:to>
      <xdr:col>6</xdr:col>
      <xdr:colOff>146050</xdr:colOff>
      <xdr:row>14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D8CCC3-88F4-AF3C-F935-81B2E2841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6350</xdr:colOff>
      <xdr:row>0</xdr:row>
      <xdr:rowOff>12700</xdr:rowOff>
    </xdr:from>
    <xdr:to>
      <xdr:col>14</xdr:col>
      <xdr:colOff>311150</xdr:colOff>
      <xdr:row>14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5C90D4-66AF-4C7E-BCD5-EEE9A67F0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6</xdr:col>
      <xdr:colOff>146050</xdr:colOff>
      <xdr:row>30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2A7E10-7CD3-4DCC-9C06-A2911D091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15</xdr:row>
      <xdr:rowOff>177800</xdr:rowOff>
    </xdr:from>
    <xdr:to>
      <xdr:col>14</xdr:col>
      <xdr:colOff>311150</xdr:colOff>
      <xdr:row>30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1EE7D9-57D9-4C07-8086-ED38F4D6A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59E6-F680-4CEA-A4DD-E5F1B22DAFFE}">
  <dimension ref="A1:S188"/>
  <sheetViews>
    <sheetView zoomScale="70" zoomScaleNormal="123" workbookViewId="0">
      <selection activeCell="B27" sqref="B27"/>
    </sheetView>
  </sheetViews>
  <sheetFormatPr defaultRowHeight="14.5" x14ac:dyDescent="0.35"/>
  <cols>
    <col min="1" max="1" width="28.90625" style="22" bestFit="1" customWidth="1"/>
    <col min="2" max="2" width="9.7265625" style="2" bestFit="1" customWidth="1"/>
    <col min="3" max="3" width="6.81640625" style="2" bestFit="1" customWidth="1"/>
    <col min="4" max="4" width="9.7265625" style="2" bestFit="1" customWidth="1"/>
    <col min="5" max="5" width="7.81640625" style="2" bestFit="1" customWidth="1"/>
    <col min="6" max="6" width="10.81640625" style="3" bestFit="1" customWidth="1"/>
    <col min="7" max="7" width="16.81640625" style="21" bestFit="1" customWidth="1"/>
    <col min="8" max="8" width="15.54296875" style="4" bestFit="1" customWidth="1"/>
    <col min="9" max="9" width="13.90625" bestFit="1" customWidth="1"/>
    <col min="10" max="10" width="14.26953125" bestFit="1" customWidth="1"/>
    <col min="11" max="11" width="14.36328125" bestFit="1" customWidth="1"/>
    <col min="12" max="12" width="14" bestFit="1" customWidth="1"/>
    <col min="13" max="13" width="9.08984375" customWidth="1"/>
    <col min="14" max="14" width="10.81640625" bestFit="1" customWidth="1"/>
    <col min="20" max="20" width="22.1796875" bestFit="1" customWidth="1"/>
  </cols>
  <sheetData>
    <row r="1" spans="1:16" ht="18" customHeight="1" x14ac:dyDescent="0.35">
      <c r="A1" s="5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192</v>
      </c>
      <c r="G1" s="5" t="s">
        <v>193</v>
      </c>
      <c r="H1" s="11" t="s">
        <v>194</v>
      </c>
      <c r="I1" s="24" t="s">
        <v>205</v>
      </c>
      <c r="J1" s="24" t="s">
        <v>206</v>
      </c>
      <c r="K1" s="24" t="s">
        <v>207</v>
      </c>
      <c r="L1" s="24" t="s">
        <v>208</v>
      </c>
      <c r="M1" s="24" t="s">
        <v>209</v>
      </c>
      <c r="N1" s="24" t="s">
        <v>77</v>
      </c>
      <c r="O1" s="24"/>
      <c r="P1" s="24"/>
    </row>
    <row r="2" spans="1:16" ht="18" customHeight="1" x14ac:dyDescent="0.35">
      <c r="A2" s="6" t="s">
        <v>36</v>
      </c>
      <c r="B2" s="12">
        <v>116458</v>
      </c>
      <c r="C2" s="12">
        <v>8944</v>
      </c>
      <c r="D2" s="12">
        <v>0</v>
      </c>
      <c r="E2" s="12">
        <v>107514</v>
      </c>
      <c r="F2" s="12">
        <v>37775022</v>
      </c>
      <c r="G2" s="6" t="s">
        <v>198</v>
      </c>
      <c r="H2" s="13">
        <v>43855</v>
      </c>
      <c r="I2">
        <f>(C2/B2*100)</f>
        <v>7.6800219821738303</v>
      </c>
      <c r="J2">
        <f>(D2/B2*100)</f>
        <v>0</v>
      </c>
      <c r="K2">
        <f>(B2/F2*100)</f>
        <v>0.3082936655867467</v>
      </c>
      <c r="L2" s="23" t="str" cm="1">
        <f t="array" ref="L2">_xlfn.IFS(I2&gt;5,"HIGH RISK",AND(I2&gt;=2,I2&lt;=5),"MODERATE RISK",I2&lt;2,"LOW RISK")</f>
        <v>HIGH RISK</v>
      </c>
      <c r="M2" cm="1">
        <f t="array" ref="M2">_xlfn.IFS(L2="LOW RISK",1,L2="MODERATE RISK",2,L2="HIGH RISK",3)</f>
        <v>3</v>
      </c>
      <c r="N2">
        <f>VLOOKUP(N1,$A$1:$M$188,6,1)</f>
        <v>398312</v>
      </c>
    </row>
    <row r="3" spans="1:16" ht="18" customHeight="1" x14ac:dyDescent="0.35">
      <c r="A3" s="7" t="s">
        <v>121</v>
      </c>
      <c r="B3" s="14">
        <v>1701</v>
      </c>
      <c r="C3" s="14">
        <v>11</v>
      </c>
      <c r="D3" s="14">
        <v>0</v>
      </c>
      <c r="E3" s="14">
        <v>1690</v>
      </c>
      <c r="F3" s="14">
        <v>31333962</v>
      </c>
      <c r="G3" s="7" t="s">
        <v>197</v>
      </c>
      <c r="H3" s="15">
        <v>43912</v>
      </c>
      <c r="I3">
        <f>(C3/B3*100)</f>
        <v>0.64667842445620227</v>
      </c>
      <c r="J3">
        <f>(D3/B3*100)</f>
        <v>0</v>
      </c>
      <c r="K3">
        <f>(B3/F3*100)</f>
        <v>5.428614485458302E-3</v>
      </c>
      <c r="L3" s="23" t="str" cm="1">
        <f t="array" ref="L3">_xlfn.IFS(I3&gt;5,"HIGH RISK",AND(I3&gt;=2,I3&lt;=5),"MODERATE RISK",I3&lt;2,"LOW RISK")</f>
        <v>LOW RISK</v>
      </c>
      <c r="M3" cm="1">
        <f t="array" ref="M3">_xlfn.IFS(L3="LOW RISK",1,L3="MODERATE RISK",2,L3="HIGH RISK",3)</f>
        <v>1</v>
      </c>
    </row>
    <row r="4" spans="1:16" ht="18" customHeight="1" x14ac:dyDescent="0.35">
      <c r="A4" s="7" t="s">
        <v>151</v>
      </c>
      <c r="B4" s="14">
        <v>24141</v>
      </c>
      <c r="C4" s="14">
        <v>543</v>
      </c>
      <c r="D4" s="14">
        <v>0</v>
      </c>
      <c r="E4" s="14">
        <v>23598</v>
      </c>
      <c r="F4" s="14">
        <v>8733665</v>
      </c>
      <c r="G4" s="7" t="s">
        <v>196</v>
      </c>
      <c r="H4" s="15">
        <v>43896</v>
      </c>
      <c r="I4">
        <f>(C4/B4*100)</f>
        <v>2.2492854479930409</v>
      </c>
      <c r="J4">
        <f>(D4/B4*100)</f>
        <v>0</v>
      </c>
      <c r="K4">
        <f>(B4/F4*100)</f>
        <v>0.27641316675187333</v>
      </c>
      <c r="L4" s="23" t="str" cm="1">
        <f t="array" ref="L4">_xlfn.IFS(I4&gt;5,"HIGH RISK",AND(I4&gt;=2,I4&lt;=5),"MODERATE RISK",I4&lt;2,"LOW RISK")</f>
        <v>MODERATE RISK</v>
      </c>
      <c r="M4" cm="1">
        <f t="array" ref="M4">_xlfn.IFS(L4="LOW RISK",1,L4="MODERATE RISK",2,L4="HIGH RISK",3)</f>
        <v>2</v>
      </c>
    </row>
    <row r="5" spans="1:16" ht="18" customHeight="1" x14ac:dyDescent="0.35">
      <c r="A5" s="7" t="s">
        <v>165</v>
      </c>
      <c r="B5" s="14">
        <v>79395</v>
      </c>
      <c r="C5" s="14">
        <v>5700</v>
      </c>
      <c r="D5" s="14">
        <v>0</v>
      </c>
      <c r="E5" s="14">
        <v>73695</v>
      </c>
      <c r="F5" s="14">
        <v>10105596</v>
      </c>
      <c r="G5" s="7" t="s">
        <v>196</v>
      </c>
      <c r="H5" s="15">
        <v>43861</v>
      </c>
      <c r="I5">
        <f>(C5/B5*100)</f>
        <v>7.1792934063857921</v>
      </c>
      <c r="J5">
        <f>(D5/B5*100)</f>
        <v>0</v>
      </c>
      <c r="K5">
        <f>(B5/F5*100)</f>
        <v>0.78565381002763213</v>
      </c>
      <c r="L5" s="23" t="str" cm="1">
        <f t="array" ref="L5">_xlfn.IFS(I5&gt;5,"HIGH RISK",AND(I5&gt;=2,I5&lt;=5),"MODERATE RISK",I5&lt;2,"LOW RISK")</f>
        <v>HIGH RISK</v>
      </c>
      <c r="M5" cm="1">
        <f t="array" ref="M5">_xlfn.IFS(L5="LOW RISK",1,L5="MODERATE RISK",2,L5="HIGH RISK",3)</f>
        <v>3</v>
      </c>
    </row>
    <row r="6" spans="1:16" ht="18" customHeight="1" x14ac:dyDescent="0.35">
      <c r="A6" s="7" t="s">
        <v>167</v>
      </c>
      <c r="B6" s="14">
        <v>674</v>
      </c>
      <c r="C6" s="14">
        <v>40</v>
      </c>
      <c r="D6" s="14">
        <v>0</v>
      </c>
      <c r="E6" s="14">
        <v>634</v>
      </c>
      <c r="F6" s="14">
        <v>17539600</v>
      </c>
      <c r="G6" s="7" t="s">
        <v>195</v>
      </c>
      <c r="H6" s="15">
        <v>43912</v>
      </c>
      <c r="I6">
        <f>(C6/B6*100)</f>
        <v>5.9347181008902083</v>
      </c>
      <c r="J6">
        <f>(D6/B6*100)</f>
        <v>0</v>
      </c>
      <c r="K6">
        <f>(B6/F6*100)</f>
        <v>3.8427330155761815E-3</v>
      </c>
      <c r="L6" s="23" t="str" cm="1">
        <f t="array" ref="L6">_xlfn.IFS(I6&gt;5,"HIGH RISK",AND(I6&gt;=2,I6&lt;=5),"MODERATE RISK",I6&lt;2,"LOW RISK")</f>
        <v>HIGH RISK</v>
      </c>
      <c r="M6" cm="1">
        <f t="array" ref="M6">_xlfn.IFS(L6="LOW RISK",1,L6="MODERATE RISK",2,L6="HIGH RISK",3)</f>
        <v>3</v>
      </c>
    </row>
    <row r="7" spans="1:16" ht="18" customHeight="1" x14ac:dyDescent="0.35">
      <c r="A7" s="6" t="s">
        <v>171</v>
      </c>
      <c r="B7" s="12">
        <v>24</v>
      </c>
      <c r="C7" s="12">
        <v>0</v>
      </c>
      <c r="D7" s="12">
        <v>0</v>
      </c>
      <c r="E7" s="12">
        <v>24</v>
      </c>
      <c r="F7" s="12">
        <v>1320812</v>
      </c>
      <c r="G7" s="6" t="s">
        <v>195</v>
      </c>
      <c r="H7" s="13">
        <v>43911</v>
      </c>
      <c r="I7">
        <f>(C7/B7*100)</f>
        <v>0</v>
      </c>
      <c r="J7">
        <f>(D7/B7*100)</f>
        <v>0</v>
      </c>
      <c r="K7">
        <f>(B7/F7*100)</f>
        <v>1.8170640484792687E-3</v>
      </c>
      <c r="L7" s="23" t="str" cm="1">
        <f t="array" ref="L7">_xlfn.IFS(I7&gt;5,"HIGH RISK",AND(I7&gt;=2,I7&lt;=5),"MODERATE RISK",I7&lt;2,"LOW RISK")</f>
        <v>LOW RISK</v>
      </c>
      <c r="M7" cm="1">
        <f t="array" ref="M7">_xlfn.IFS(L7="LOW RISK",1,L7="MODERATE RISK",2,L7="HIGH RISK",3)</f>
        <v>1</v>
      </c>
    </row>
    <row r="8" spans="1:16" ht="18" customHeight="1" x14ac:dyDescent="0.35">
      <c r="A8" s="6" t="s">
        <v>124</v>
      </c>
      <c r="B8" s="12">
        <v>53413</v>
      </c>
      <c r="C8" s="12">
        <v>6160</v>
      </c>
      <c r="D8" s="12">
        <v>189</v>
      </c>
      <c r="E8" s="12">
        <v>47064</v>
      </c>
      <c r="F8" s="12">
        <v>17138756</v>
      </c>
      <c r="G8" s="6" t="s">
        <v>196</v>
      </c>
      <c r="H8" s="13">
        <v>43888</v>
      </c>
      <c r="I8">
        <f>(C8/B8*100)</f>
        <v>11.532772920450078</v>
      </c>
      <c r="J8">
        <f>(D8/B8*100)</f>
        <v>0.35384644187744557</v>
      </c>
      <c r="K8">
        <f>(B8/F8*100)</f>
        <v>0.31165039049508614</v>
      </c>
      <c r="L8" s="23" t="str" cm="1">
        <f t="array" ref="L8">_xlfn.IFS(I8&gt;5,"HIGH RISK",AND(I8&gt;=2,I8&lt;=5),"MODERATE RISK",I8&lt;2,"LOW RISK")</f>
        <v>HIGH RISK</v>
      </c>
      <c r="M8" cm="1">
        <f t="array" ref="M8">_xlfn.IFS(L8="LOW RISK",1,L8="MODERATE RISK",2,L8="HIGH RISK",3)</f>
        <v>3</v>
      </c>
    </row>
    <row r="9" spans="1:16" ht="18" customHeight="1" x14ac:dyDescent="0.35">
      <c r="A9" s="7" t="s">
        <v>180</v>
      </c>
      <c r="B9" s="14">
        <v>301708</v>
      </c>
      <c r="C9" s="14">
        <v>45844</v>
      </c>
      <c r="D9" s="14">
        <v>1437</v>
      </c>
      <c r="E9" s="14">
        <v>254427</v>
      </c>
      <c r="F9" s="14">
        <v>67922029</v>
      </c>
      <c r="G9" s="7" t="s">
        <v>196</v>
      </c>
      <c r="H9" s="15">
        <v>43861</v>
      </c>
      <c r="I9">
        <f>(C9/B9*100)</f>
        <v>15.194824134593713</v>
      </c>
      <c r="J9">
        <f>(D9/B9*100)</f>
        <v>0.47628833176448754</v>
      </c>
      <c r="K9">
        <f>(B9/F9*100)</f>
        <v>0.44419756659507326</v>
      </c>
      <c r="L9" s="23" t="str" cm="1">
        <f t="array" ref="L9">_xlfn.IFS(I9&gt;5,"HIGH RISK",AND(I9&gt;=2,I9&lt;=5),"MODERATE RISK",I9&lt;2,"LOW RISK")</f>
        <v>HIGH RISK</v>
      </c>
      <c r="M9" cm="1">
        <f t="array" ref="M9">_xlfn.IFS(L9="LOW RISK",1,L9="MODERATE RISK",2,L9="HIGH RISK",3)</f>
        <v>3</v>
      </c>
    </row>
    <row r="10" spans="1:16" ht="18" customHeight="1" x14ac:dyDescent="0.35">
      <c r="A10" s="6" t="s">
        <v>122</v>
      </c>
      <c r="B10" s="12">
        <v>1843</v>
      </c>
      <c r="C10" s="12">
        <v>8</v>
      </c>
      <c r="D10" s="12">
        <v>101</v>
      </c>
      <c r="E10" s="12">
        <v>1734</v>
      </c>
      <c r="F10" s="12">
        <v>2545264</v>
      </c>
      <c r="G10" s="6" t="s">
        <v>197</v>
      </c>
      <c r="H10" s="13">
        <v>43904</v>
      </c>
      <c r="I10">
        <f>(C10/B10*100)</f>
        <v>0.43407487791644062</v>
      </c>
      <c r="J10">
        <f>(D10/B10*100)</f>
        <v>5.480195333695062</v>
      </c>
      <c r="K10">
        <f>(B10/F10*100)</f>
        <v>7.2408991758811658E-2</v>
      </c>
      <c r="L10" s="23" t="str" cm="1">
        <f t="array" ref="L10">_xlfn.IFS(I10&gt;5,"HIGH RISK",AND(I10&gt;=2,I10&lt;=5),"MODERATE RISK",I10&lt;2,"LOW RISK")</f>
        <v>LOW RISK</v>
      </c>
      <c r="M10" cm="1">
        <f t="array" ref="M10">_xlfn.IFS(L10="LOW RISK",1,L10="MODERATE RISK",2,L10="HIGH RISK",3)</f>
        <v>1</v>
      </c>
    </row>
    <row r="11" spans="1:16" ht="18" customHeight="1" x14ac:dyDescent="0.35">
      <c r="A11" s="6" t="s">
        <v>27</v>
      </c>
      <c r="B11" s="12">
        <v>739</v>
      </c>
      <c r="C11" s="12">
        <v>2</v>
      </c>
      <c r="D11" s="12">
        <v>63</v>
      </c>
      <c r="E11" s="12">
        <v>674</v>
      </c>
      <c r="F11" s="12">
        <v>2356075</v>
      </c>
      <c r="G11" s="6" t="s">
        <v>197</v>
      </c>
      <c r="H11" s="13">
        <v>43920</v>
      </c>
      <c r="I11">
        <f>(C11/B11*100)</f>
        <v>0.2706359945872801</v>
      </c>
      <c r="J11">
        <f>(D11/B11*100)</f>
        <v>8.5250338294993231</v>
      </c>
      <c r="K11">
        <f>(B11/F11*100)</f>
        <v>3.1365724775314879E-2</v>
      </c>
      <c r="L11" s="23" t="str" cm="1">
        <f t="array" ref="L11">_xlfn.IFS(I11&gt;5,"HIGH RISK",AND(I11&gt;=2,I11&lt;=5),"MODERATE RISK",I11&lt;2,"LOW RISK")</f>
        <v>LOW RISK</v>
      </c>
      <c r="M11" cm="1">
        <f t="array" ref="M11">_xlfn.IFS(L11="LOW RISK",1,L11="MODERATE RISK",2,L11="HIGH RISK",3)</f>
        <v>1</v>
      </c>
    </row>
    <row r="12" spans="1:16" ht="18" customHeight="1" x14ac:dyDescent="0.35">
      <c r="A12" s="6" t="s">
        <v>80</v>
      </c>
      <c r="B12" s="12">
        <v>39741</v>
      </c>
      <c r="C12" s="12">
        <v>1166</v>
      </c>
      <c r="D12" s="12">
        <v>5039</v>
      </c>
      <c r="E12" s="12">
        <v>33536</v>
      </c>
      <c r="F12" s="16">
        <v>10012084</v>
      </c>
      <c r="G12" s="6" t="s">
        <v>198</v>
      </c>
      <c r="H12" s="13">
        <v>43907</v>
      </c>
      <c r="I12">
        <f>(C12/B12*100)</f>
        <v>2.9339976346845829</v>
      </c>
      <c r="J12">
        <f>(D12/B12*100)</f>
        <v>12.679600412672052</v>
      </c>
      <c r="K12">
        <f>(B12/F12*100)</f>
        <v>0.39693034936582633</v>
      </c>
      <c r="L12" s="23" t="str" cm="1">
        <f t="array" ref="L12">_xlfn.IFS(I12&gt;5,"HIGH RISK",AND(I12&gt;=2,I12&lt;=5),"MODERATE RISK",I12&lt;2,"LOW RISK")</f>
        <v>MODERATE RISK</v>
      </c>
      <c r="M12" cm="1">
        <f t="array" ref="M12">_xlfn.IFS(L12="LOW RISK",1,L12="MODERATE RISK",2,L12="HIGH RISK",3)</f>
        <v>2</v>
      </c>
    </row>
    <row r="13" spans="1:16" ht="18" customHeight="1" x14ac:dyDescent="0.35">
      <c r="A13" s="6" t="s">
        <v>134</v>
      </c>
      <c r="B13" s="12">
        <v>62</v>
      </c>
      <c r="C13" s="12">
        <v>0</v>
      </c>
      <c r="D13" s="12">
        <v>11</v>
      </c>
      <c r="E13" s="12">
        <v>51</v>
      </c>
      <c r="F13" s="12">
        <v>8963009</v>
      </c>
      <c r="G13" s="6" t="s">
        <v>200</v>
      </c>
      <c r="H13" s="13">
        <v>43910</v>
      </c>
      <c r="I13">
        <f>(C13/B13*100)</f>
        <v>0</v>
      </c>
      <c r="J13">
        <f>(D13/B13*100)</f>
        <v>17.741935483870968</v>
      </c>
      <c r="K13">
        <f>(B13/F13*100)</f>
        <v>6.9173198420307289E-4</v>
      </c>
      <c r="L13" s="23" t="str" cm="1">
        <f t="array" ref="L13">_xlfn.IFS(I13&gt;5,"HIGH RISK",AND(I13&gt;=2,I13&lt;=5),"MODERATE RISK",I13&lt;2,"LOW RISK")</f>
        <v>LOW RISK</v>
      </c>
      <c r="M13" cm="1">
        <f t="array" ref="M13">_xlfn.IFS(L13="LOW RISK",1,L13="MODERATE RISK",2,L13="HIGH RISK",3)</f>
        <v>1</v>
      </c>
    </row>
    <row r="14" spans="1:16" ht="18" customHeight="1" x14ac:dyDescent="0.35">
      <c r="A14" s="6" t="s">
        <v>189</v>
      </c>
      <c r="B14" s="12">
        <v>2704</v>
      </c>
      <c r="C14" s="12">
        <v>36</v>
      </c>
      <c r="D14" s="12">
        <v>542</v>
      </c>
      <c r="E14" s="12">
        <v>2126</v>
      </c>
      <c r="F14" s="12">
        <v>14883803</v>
      </c>
      <c r="G14" s="6" t="s">
        <v>197</v>
      </c>
      <c r="H14" s="13">
        <v>43911</v>
      </c>
      <c r="I14">
        <f>(C14/B14*100)</f>
        <v>1.3313609467455623</v>
      </c>
      <c r="J14">
        <f>(D14/B14*100)</f>
        <v>20.04437869822485</v>
      </c>
      <c r="K14">
        <f>(B14/F14*100)</f>
        <v>1.8167399823821907E-2</v>
      </c>
      <c r="L14" s="23" t="str" cm="1">
        <f t="array" ref="L14">_xlfn.IFS(I14&gt;5,"HIGH RISK",AND(I14&gt;=2,I14&lt;=5),"MODERATE RISK",I14&lt;2,"LOW RISK")</f>
        <v>LOW RISK</v>
      </c>
      <c r="M14" cm="1">
        <f t="array" ref="M14">_xlfn.IFS(L14="LOW RISK",1,L14="MODERATE RISK",2,L14="HIGH RISK",3)</f>
        <v>1</v>
      </c>
    </row>
    <row r="15" spans="1:16" ht="18" customHeight="1" x14ac:dyDescent="0.35">
      <c r="A15" s="7" t="s">
        <v>67</v>
      </c>
      <c r="B15" s="14">
        <v>326</v>
      </c>
      <c r="C15" s="14">
        <v>8</v>
      </c>
      <c r="D15" s="14">
        <v>66</v>
      </c>
      <c r="E15" s="14">
        <v>252</v>
      </c>
      <c r="F15" s="14">
        <v>2422754</v>
      </c>
      <c r="G15" s="7" t="s">
        <v>197</v>
      </c>
      <c r="H15" s="15">
        <v>43907</v>
      </c>
      <c r="I15">
        <f>(C15/B15*100)</f>
        <v>2.4539877300613497</v>
      </c>
      <c r="J15">
        <f>(D15/B15*100)</f>
        <v>20.245398773006134</v>
      </c>
      <c r="K15">
        <f>(B15/F15*100)</f>
        <v>1.345576150116768E-2</v>
      </c>
      <c r="L15" s="23" t="str" cm="1">
        <f t="array" ref="L15">_xlfn.IFS(I15&gt;5,"HIGH RISK",AND(I15&gt;=2,I15&lt;=5),"MODERATE RISK",I15&lt;2,"LOW RISK")</f>
        <v>MODERATE RISK</v>
      </c>
      <c r="M15" cm="1">
        <f t="array" ref="M15">_xlfn.IFS(L15="LOW RISK",1,L15="MODERATE RISK",2,L15="HIGH RISK",3)</f>
        <v>2</v>
      </c>
    </row>
    <row r="16" spans="1:16" ht="18" customHeight="1" x14ac:dyDescent="0.35">
      <c r="A16" s="7" t="s">
        <v>103</v>
      </c>
      <c r="B16" s="14">
        <v>2827</v>
      </c>
      <c r="C16" s="14">
        <v>64</v>
      </c>
      <c r="D16" s="14">
        <v>577</v>
      </c>
      <c r="E16" s="14">
        <v>2186</v>
      </c>
      <c r="F16" s="14">
        <v>6880353</v>
      </c>
      <c r="G16" s="7" t="s">
        <v>197</v>
      </c>
      <c r="H16" s="15">
        <v>43914</v>
      </c>
      <c r="I16">
        <f>(C16/B16*100)</f>
        <v>2.2638839759462326</v>
      </c>
      <c r="J16">
        <f>(D16/B16*100)</f>
        <v>20.410328970640254</v>
      </c>
      <c r="K16">
        <f>(B16/F16*100)</f>
        <v>4.1088008129815431E-2</v>
      </c>
      <c r="L16" s="23" t="str" cm="1">
        <f t="array" ref="L16">_xlfn.IFS(I16&gt;5,"HIGH RISK",AND(I16&gt;=2,I16&lt;=5),"MODERATE RISK",I16&lt;2,"LOW RISK")</f>
        <v>MODERATE RISK</v>
      </c>
      <c r="M16" cm="1">
        <f t="array" ref="M16">_xlfn.IFS(L16="LOW RISK",1,L16="MODERATE RISK",2,L16="HIGH RISK",3)</f>
        <v>2</v>
      </c>
    </row>
    <row r="17" spans="1:13" ht="18" customHeight="1" x14ac:dyDescent="0.35">
      <c r="A17" s="7" t="s">
        <v>16</v>
      </c>
      <c r="B17" s="14">
        <v>382</v>
      </c>
      <c r="C17" s="14">
        <v>11</v>
      </c>
      <c r="D17" s="14">
        <v>91</v>
      </c>
      <c r="E17" s="14">
        <v>280</v>
      </c>
      <c r="F17" s="14">
        <v>393616</v>
      </c>
      <c r="G17" s="7" t="s">
        <v>198</v>
      </c>
      <c r="H17" s="15">
        <v>43905</v>
      </c>
      <c r="I17">
        <f>(C17/B17*100)</f>
        <v>2.8795811518324608</v>
      </c>
      <c r="J17">
        <f>(D17/B17*100)</f>
        <v>23.821989528795811</v>
      </c>
      <c r="K17">
        <f>(B17/F17*100)</f>
        <v>9.7048900451201167E-2</v>
      </c>
      <c r="L17" s="23" t="str" cm="1">
        <f t="array" ref="L17">_xlfn.IFS(I17&gt;5,"HIGH RISK",AND(I17&gt;=2,I17&lt;=5),"MODERATE RISK",I17&lt;2,"LOW RISK")</f>
        <v>MODERATE RISK</v>
      </c>
      <c r="M17" cm="1">
        <f t="array" ref="M17">_xlfn.IFS(L17="LOW RISK",1,L17="MODERATE RISK",2,L17="HIGH RISK",3)</f>
        <v>2</v>
      </c>
    </row>
    <row r="18" spans="1:13" ht="18" customHeight="1" x14ac:dyDescent="0.35">
      <c r="A18" s="7" t="s">
        <v>45</v>
      </c>
      <c r="B18" s="14">
        <v>15841</v>
      </c>
      <c r="C18" s="14">
        <v>115</v>
      </c>
      <c r="D18" s="14">
        <v>3824</v>
      </c>
      <c r="E18" s="14">
        <v>11902</v>
      </c>
      <c r="F18" s="14">
        <v>5098730</v>
      </c>
      <c r="G18" s="7" t="s">
        <v>198</v>
      </c>
      <c r="H18" s="15">
        <v>43896</v>
      </c>
      <c r="I18">
        <f>(C18/B18*100)</f>
        <v>0.72596426993245378</v>
      </c>
      <c r="J18">
        <f>(D18/B18*100)</f>
        <v>24.139890158449592</v>
      </c>
      <c r="K18">
        <f>(B18/F18*100)</f>
        <v>0.31068520984637354</v>
      </c>
      <c r="L18" s="23" t="str" cm="1">
        <f t="array" ref="L18">_xlfn.IFS(I18&gt;5,"HIGH RISK",AND(I18&gt;=2,I18&lt;=5),"MODERATE RISK",I18&lt;2,"LOW RISK")</f>
        <v>LOW RISK</v>
      </c>
      <c r="M18" cm="1">
        <f t="array" ref="M18">_xlfn.IFS(L18="LOW RISK",1,L18="MODERATE RISK",2,L18="HIGH RISK",3)</f>
        <v>1</v>
      </c>
    </row>
    <row r="19" spans="1:13" ht="18" customHeight="1" x14ac:dyDescent="0.35">
      <c r="A19" s="7" t="s">
        <v>101</v>
      </c>
      <c r="B19" s="14">
        <v>505</v>
      </c>
      <c r="C19" s="14">
        <v>12</v>
      </c>
      <c r="D19" s="14">
        <v>128</v>
      </c>
      <c r="E19" s="14">
        <v>365</v>
      </c>
      <c r="F19" s="14">
        <v>2143943</v>
      </c>
      <c r="G19" s="7" t="s">
        <v>197</v>
      </c>
      <c r="H19" s="15">
        <v>43964</v>
      </c>
      <c r="I19">
        <f>(C19/B19*100)</f>
        <v>2.3762376237623761</v>
      </c>
      <c r="J19">
        <f>(D19/B19*100)</f>
        <v>25.346534653465348</v>
      </c>
      <c r="K19">
        <f>(B19/F19*100)</f>
        <v>2.3554730699463559E-2</v>
      </c>
      <c r="L19" s="23" t="str" cm="1">
        <f t="array" ref="L19">_xlfn.IFS(I19&gt;5,"HIGH RISK",AND(I19&gt;=2,I19&lt;=5),"MODERATE RISK",I19&lt;2,"LOW RISK")</f>
        <v>MODERATE RISK</v>
      </c>
      <c r="M19" cm="1">
        <f t="array" ref="M19">_xlfn.IFS(L19="LOW RISK",1,L19="MODERATE RISK",2,L19="HIGH RISK",3)</f>
        <v>2</v>
      </c>
    </row>
    <row r="20" spans="1:13" ht="18" customHeight="1" x14ac:dyDescent="0.35">
      <c r="A20" s="6" t="s">
        <v>9</v>
      </c>
      <c r="B20" s="12">
        <v>950</v>
      </c>
      <c r="C20" s="12">
        <v>41</v>
      </c>
      <c r="D20" s="12">
        <v>242</v>
      </c>
      <c r="E20" s="12">
        <v>667</v>
      </c>
      <c r="F20" s="12">
        <v>32956300</v>
      </c>
      <c r="G20" s="6" t="s">
        <v>197</v>
      </c>
      <c r="H20" s="13">
        <v>43911</v>
      </c>
      <c r="I20">
        <f>(C20/B20*100)</f>
        <v>4.3157894736842106</v>
      </c>
      <c r="J20">
        <f>(D20/B20*100)</f>
        <v>25.473684210526315</v>
      </c>
      <c r="K20">
        <f>(B20/F20*100)</f>
        <v>2.8826051468156316E-3</v>
      </c>
      <c r="L20" s="23" t="str" cm="1">
        <f t="array" ref="L20">_xlfn.IFS(I20&gt;5,"HIGH RISK",AND(I20&gt;=2,I20&lt;=5),"MODERATE RISK",I20&lt;2,"LOW RISK")</f>
        <v>MODERATE RISK</v>
      </c>
      <c r="M20" cm="1">
        <f t="array" ref="M20">_xlfn.IFS(L20="LOW RISK",1,L20="MODERATE RISK",2,L20="HIGH RISK",3)</f>
        <v>2</v>
      </c>
    </row>
    <row r="21" spans="1:13" ht="18" customHeight="1" x14ac:dyDescent="0.35">
      <c r="A21" s="7" t="s">
        <v>43</v>
      </c>
      <c r="B21" s="14">
        <v>3200</v>
      </c>
      <c r="C21" s="14">
        <v>54</v>
      </c>
      <c r="D21" s="14">
        <v>829</v>
      </c>
      <c r="E21" s="14">
        <v>2317</v>
      </c>
      <c r="F21" s="14">
        <v>5530506</v>
      </c>
      <c r="G21" s="7" t="s">
        <v>197</v>
      </c>
      <c r="H21" s="15">
        <v>43904</v>
      </c>
      <c r="I21">
        <f>(C21/B21*100)</f>
        <v>1.6875</v>
      </c>
      <c r="J21">
        <f>(D21/B21*100)</f>
        <v>25.906249999999996</v>
      </c>
      <c r="K21">
        <f>(B21/F21*100)</f>
        <v>5.7860890124701074E-2</v>
      </c>
      <c r="L21" s="23" t="str" cm="1">
        <f t="array" ref="L21">_xlfn.IFS(I21&gt;5,"HIGH RISK",AND(I21&gt;=2,I21&lt;=5),"MODERATE RISK",I21&lt;2,"LOW RISK")</f>
        <v>LOW RISK</v>
      </c>
      <c r="M21" cm="1">
        <f t="array" ref="M21">_xlfn.IFS(L21="LOW RISK",1,L21="MODERATE RISK",2,L21="HIGH RISK",3)</f>
        <v>1</v>
      </c>
    </row>
    <row r="22" spans="1:13" ht="18" customHeight="1" x14ac:dyDescent="0.35">
      <c r="A22" s="6" t="s">
        <v>21</v>
      </c>
      <c r="B22" s="12">
        <v>66428</v>
      </c>
      <c r="C22" s="12">
        <v>9822</v>
      </c>
      <c r="D22" s="12">
        <v>17452</v>
      </c>
      <c r="E22" s="12">
        <v>39154</v>
      </c>
      <c r="F22" s="12">
        <v>11594739</v>
      </c>
      <c r="G22" s="6" t="s">
        <v>196</v>
      </c>
      <c r="H22" s="13">
        <v>43865</v>
      </c>
      <c r="I22">
        <f>(C22/B22*100)</f>
        <v>14.785933642439936</v>
      </c>
      <c r="J22">
        <f>(D22/B22*100)</f>
        <v>26.272053953152287</v>
      </c>
      <c r="K22">
        <f>(B22/F22*100)</f>
        <v>0.57291500912612181</v>
      </c>
      <c r="L22" s="23" t="str" cm="1">
        <f t="array" ref="L22">_xlfn.IFS(I22&gt;5,"HIGH RISK",AND(I22&gt;=2,I22&lt;=5),"MODERATE RISK",I22&lt;2,"LOW RISK")</f>
        <v>HIGH RISK</v>
      </c>
      <c r="M22" cm="1">
        <f t="array" ref="M22">_xlfn.IFS(L22="LOW RISK",1,L22="MODERATE RISK",2,L22="HIGH RISK",3)</f>
        <v>3</v>
      </c>
    </row>
    <row r="23" spans="1:13" ht="18" customHeight="1" x14ac:dyDescent="0.35">
      <c r="A23" s="6" t="s">
        <v>58</v>
      </c>
      <c r="B23" s="12">
        <v>3071</v>
      </c>
      <c r="C23" s="12">
        <v>51</v>
      </c>
      <c r="D23" s="12">
        <v>842</v>
      </c>
      <c r="E23" s="12">
        <v>2178</v>
      </c>
      <c r="F23" s="12">
        <v>1407001</v>
      </c>
      <c r="G23" s="6" t="s">
        <v>197</v>
      </c>
      <c r="H23" s="13">
        <v>43904</v>
      </c>
      <c r="I23">
        <f>(C23/B23*100)</f>
        <v>1.6606968414197329</v>
      </c>
      <c r="J23">
        <f>(D23/B23*100)</f>
        <v>27.417779225008143</v>
      </c>
      <c r="K23">
        <f>(B23/F23*100)</f>
        <v>0.21826565865980196</v>
      </c>
      <c r="L23" s="23" t="str" cm="1">
        <f t="array" ref="L23">_xlfn.IFS(I23&gt;5,"HIGH RISK",AND(I23&gt;=2,I23&lt;=5),"MODERATE RISK",I23&lt;2,"LOW RISK")</f>
        <v>LOW RISK</v>
      </c>
      <c r="M23" cm="1">
        <f t="array" ref="M23">_xlfn.IFS(L23="LOW RISK",1,L23="MODERATE RISK",2,L23="HIGH RISK",3)</f>
        <v>1</v>
      </c>
    </row>
    <row r="24" spans="1:13" ht="18" customHeight="1" x14ac:dyDescent="0.35">
      <c r="A24" s="7" t="s">
        <v>119</v>
      </c>
      <c r="B24" s="14">
        <v>2893</v>
      </c>
      <c r="C24" s="14">
        <v>45</v>
      </c>
      <c r="D24" s="14">
        <v>809</v>
      </c>
      <c r="E24" s="14">
        <v>2039</v>
      </c>
      <c r="F24" s="14">
        <v>628074</v>
      </c>
      <c r="G24" s="7" t="s">
        <v>196</v>
      </c>
      <c r="H24" s="15">
        <v>43907</v>
      </c>
      <c r="I24">
        <f>(C24/B24*100)</f>
        <v>1.5554787417905289</v>
      </c>
      <c r="J24">
        <f>(D24/B24*100)</f>
        <v>27.964051157967507</v>
      </c>
      <c r="K24">
        <f>(B24/F24*100)</f>
        <v>0.46061451357642574</v>
      </c>
      <c r="L24" s="23" t="str" cm="1">
        <f t="array" ref="L24">_xlfn.IFS(I24&gt;5,"HIGH RISK",AND(I24&gt;=2,I24&lt;=5),"MODERATE RISK",I24&lt;2,"LOW RISK")</f>
        <v>LOW RISK</v>
      </c>
      <c r="M24" cm="1">
        <f t="array" ref="M24">_xlfn.IFS(L24="LOW RISK",1,L24="MODERATE RISK",2,L24="HIGH RISK",3)</f>
        <v>1</v>
      </c>
    </row>
    <row r="25" spans="1:13" ht="18" customHeight="1" x14ac:dyDescent="0.35">
      <c r="A25" s="6" t="s">
        <v>25</v>
      </c>
      <c r="B25" s="12">
        <v>71181</v>
      </c>
      <c r="C25" s="12">
        <v>2647</v>
      </c>
      <c r="D25" s="12">
        <v>21478</v>
      </c>
      <c r="E25" s="12">
        <v>47056</v>
      </c>
      <c r="F25" s="12">
        <v>11688459</v>
      </c>
      <c r="G25" s="6" t="s">
        <v>199</v>
      </c>
      <c r="H25" s="13">
        <v>43900</v>
      </c>
      <c r="I25">
        <f>(C25/B25*100)</f>
        <v>3.718688975990784</v>
      </c>
      <c r="J25">
        <f>(D25/B25*100)</f>
        <v>30.173782329554232</v>
      </c>
      <c r="K25">
        <f>(B25/F25*100)</f>
        <v>0.60898532475495704</v>
      </c>
      <c r="L25" s="23" t="str" cm="1">
        <f t="array" ref="L25">_xlfn.IFS(I25&gt;5,"HIGH RISK",AND(I25&gt;=2,I25&lt;=5),"MODERATE RISK",I25&lt;2,"LOW RISK")</f>
        <v>MODERATE RISK</v>
      </c>
      <c r="M25" cm="1">
        <f t="array" ref="M25">_xlfn.IFS(L25="LOW RISK",1,L25="MODERATE RISK",2,L25="HIGH RISK",3)</f>
        <v>2</v>
      </c>
    </row>
    <row r="26" spans="1:13" ht="18" customHeight="1" x14ac:dyDescent="0.35">
      <c r="A26" s="7" t="s">
        <v>176</v>
      </c>
      <c r="B26" s="14">
        <v>4290259</v>
      </c>
      <c r="C26" s="14">
        <v>148011</v>
      </c>
      <c r="D26" s="14">
        <v>1325804</v>
      </c>
      <c r="E26" s="14">
        <v>2816444</v>
      </c>
      <c r="F26" s="14">
        <v>331198130</v>
      </c>
      <c r="G26" s="7" t="s">
        <v>198</v>
      </c>
      <c r="H26" s="15">
        <v>43851</v>
      </c>
      <c r="I26">
        <f>(C26/B26*100)</f>
        <v>3.4499315775574386</v>
      </c>
      <c r="J26">
        <f>(D26/B26*100)</f>
        <v>30.902656459668286</v>
      </c>
      <c r="K26">
        <f>(B26/F26*100)</f>
        <v>1.2953753694201111</v>
      </c>
      <c r="L26" s="23" t="str" cm="1">
        <f t="array" ref="L26">_xlfn.IFS(I26&gt;5,"HIGH RISK",AND(I26&gt;=2,I26&lt;=5),"MODERATE RISK",I26&lt;2,"LOW RISK")</f>
        <v>MODERATE RISK</v>
      </c>
      <c r="M26" cm="1">
        <f t="array" ref="M26">_xlfn.IFS(L26="LOW RISK",1,L26="MODERATE RISK",2,L26="HIGH RISK",3)</f>
        <v>2</v>
      </c>
    </row>
    <row r="27" spans="1:13" ht="18" customHeight="1" x14ac:dyDescent="0.35">
      <c r="A27" s="7" t="s">
        <v>137</v>
      </c>
      <c r="B27" s="14">
        <v>82040</v>
      </c>
      <c r="C27" s="14">
        <v>1945</v>
      </c>
      <c r="D27" s="14">
        <v>26446</v>
      </c>
      <c r="E27" s="14">
        <v>53649</v>
      </c>
      <c r="F27" s="14">
        <v>109722719</v>
      </c>
      <c r="G27" s="7" t="s">
        <v>195</v>
      </c>
      <c r="H27" s="15">
        <v>43860</v>
      </c>
      <c r="I27">
        <f>(C27/B27*100)</f>
        <v>2.3707947342759628</v>
      </c>
      <c r="J27">
        <f>(D27/B27*100)</f>
        <v>32.235494880546071</v>
      </c>
      <c r="K27">
        <f>(B27/F27*100)</f>
        <v>7.4770294381786145E-2</v>
      </c>
      <c r="L27" s="23" t="str" cm="1">
        <f t="array" ref="L27">_xlfn.IFS(I27&gt;5,"HIGH RISK",AND(I27&gt;=2,I27&lt;=5),"MODERATE RISK",I27&lt;2,"LOW RISK")</f>
        <v>MODERATE RISK</v>
      </c>
      <c r="M27" cm="1">
        <f t="array" ref="M27">_xlfn.IFS(L27="LOW RISK",1,L27="MODERATE RISK",2,L27="HIGH RISK",3)</f>
        <v>2</v>
      </c>
    </row>
    <row r="28" spans="1:13" ht="18" customHeight="1" x14ac:dyDescent="0.35">
      <c r="A28" s="7" t="s">
        <v>71</v>
      </c>
      <c r="B28" s="14">
        <v>4227</v>
      </c>
      <c r="C28" s="14">
        <v>202</v>
      </c>
      <c r="D28" s="14">
        <v>1374</v>
      </c>
      <c r="E28" s="14">
        <v>2651</v>
      </c>
      <c r="F28" s="14">
        <v>10417673</v>
      </c>
      <c r="G28" s="7" t="s">
        <v>196</v>
      </c>
      <c r="H28" s="15">
        <v>43887</v>
      </c>
      <c r="I28">
        <f>(C28/B28*100)</f>
        <v>4.7788029335225923</v>
      </c>
      <c r="J28">
        <f>(D28/B28*100)</f>
        <v>32.505322924059612</v>
      </c>
      <c r="K28">
        <f>(B28/F28*100)</f>
        <v>4.0575280103339779E-2</v>
      </c>
      <c r="L28" s="23" t="str" cm="1">
        <f t="array" ref="L28">_xlfn.IFS(I28&gt;5,"HIGH RISK",AND(I28&gt;=2,I28&lt;=5),"MODERATE RISK",I28&lt;2,"LOW RISK")</f>
        <v>MODERATE RISK</v>
      </c>
      <c r="M28" cm="1">
        <f t="array" ref="M28">_xlfn.IFS(L28="LOW RISK",1,L28="MODERATE RISK",2,L28="HIGH RISK",3)</f>
        <v>2</v>
      </c>
    </row>
    <row r="29" spans="1:13" ht="18" customHeight="1" x14ac:dyDescent="0.35">
      <c r="A29" s="7" t="s">
        <v>37</v>
      </c>
      <c r="B29" s="14">
        <v>4599</v>
      </c>
      <c r="C29" s="14">
        <v>59</v>
      </c>
      <c r="D29" s="14">
        <v>1546</v>
      </c>
      <c r="E29" s="14">
        <v>2994</v>
      </c>
      <c r="F29" s="14">
        <v>4837752</v>
      </c>
      <c r="G29" s="7" t="s">
        <v>197</v>
      </c>
      <c r="H29" s="15">
        <v>43904</v>
      </c>
      <c r="I29">
        <f>(C29/B29*100)</f>
        <v>1.2828875842574472</v>
      </c>
      <c r="J29">
        <f>(D29/B29*100)</f>
        <v>33.616003479017174</v>
      </c>
      <c r="K29">
        <f>(B29/F29*100)</f>
        <v>9.5064815228229974E-2</v>
      </c>
      <c r="L29" s="23" t="str" cm="1">
        <f t="array" ref="L29">_xlfn.IFS(I29&gt;5,"HIGH RISK",AND(I29&gt;=2,I29&lt;=5),"MODERATE RISK",I29&lt;2,"LOW RISK")</f>
        <v>LOW RISK</v>
      </c>
      <c r="M29" cm="1">
        <f t="array" ref="M29">_xlfn.IFS(L29="LOW RISK",1,L29="MODERATE RISK",2,L29="HIGH RISK",3)</f>
        <v>1</v>
      </c>
    </row>
    <row r="30" spans="1:13" ht="18" customHeight="1" x14ac:dyDescent="0.35">
      <c r="A30" s="6" t="s">
        <v>152</v>
      </c>
      <c r="B30" s="12">
        <v>114</v>
      </c>
      <c r="C30" s="12">
        <v>0</v>
      </c>
      <c r="D30" s="12">
        <v>39</v>
      </c>
      <c r="E30" s="12">
        <v>75</v>
      </c>
      <c r="F30" s="12">
        <v>98408</v>
      </c>
      <c r="G30" s="6" t="s">
        <v>197</v>
      </c>
      <c r="H30" s="13">
        <v>43904</v>
      </c>
      <c r="I30">
        <f>(C30/B30*100)</f>
        <v>0</v>
      </c>
      <c r="J30">
        <f>(D30/B30*100)</f>
        <v>34.210526315789473</v>
      </c>
      <c r="K30">
        <f>(B30/F30*100)</f>
        <v>0.1158442403056662</v>
      </c>
      <c r="L30" s="23" t="str" cm="1">
        <f t="array" ref="L30">_xlfn.IFS(I30&gt;5,"HIGH RISK",AND(I30&gt;=2,I30&lt;=5),"MODERATE RISK",I30&lt;2,"LOW RISK")</f>
        <v>LOW RISK</v>
      </c>
      <c r="M30" cm="1">
        <f t="array" ref="M30">_xlfn.IFS(L30="LOW RISK",1,L30="MODERATE RISK",2,L30="HIGH RISK",3)</f>
        <v>1</v>
      </c>
    </row>
    <row r="31" spans="1:13" ht="18" customHeight="1" x14ac:dyDescent="0.35">
      <c r="A31" s="6" t="s">
        <v>185</v>
      </c>
      <c r="B31" s="12">
        <v>10621</v>
      </c>
      <c r="C31" s="12">
        <v>78</v>
      </c>
      <c r="D31" s="12">
        <v>3752</v>
      </c>
      <c r="E31" s="12">
        <v>6791</v>
      </c>
      <c r="F31" s="16">
        <v>4800000</v>
      </c>
      <c r="G31" s="6" t="s">
        <v>195</v>
      </c>
      <c r="H31" s="13">
        <v>43895</v>
      </c>
      <c r="I31">
        <f>(C31/B31*100)</f>
        <v>0.73439412484700128</v>
      </c>
      <c r="J31">
        <f>(D31/B31*100)</f>
        <v>35.326240466999344</v>
      </c>
      <c r="K31">
        <f>(B31/F31*100)</f>
        <v>0.22127083333333333</v>
      </c>
      <c r="L31" s="23" t="str" cm="1">
        <f t="array" ref="L31">_xlfn.IFS(I31&gt;5,"HIGH RISK",AND(I31&gt;=2,I31&lt;=5),"MODERATE RISK",I31&lt;2,"LOW RISK")</f>
        <v>LOW RISK</v>
      </c>
      <c r="M31" cm="1">
        <f t="array" ref="M31">_xlfn.IFS(L31="LOW RISK",1,L31="MODERATE RISK",2,L31="HIGH RISK",3)</f>
        <v>1</v>
      </c>
    </row>
    <row r="32" spans="1:13" ht="18" customHeight="1" x14ac:dyDescent="0.35">
      <c r="A32" s="6" t="s">
        <v>169</v>
      </c>
      <c r="B32" s="12">
        <v>509</v>
      </c>
      <c r="C32" s="12">
        <v>21</v>
      </c>
      <c r="D32" s="12">
        <v>183</v>
      </c>
      <c r="E32" s="12">
        <v>305</v>
      </c>
      <c r="F32" s="12">
        <v>59886383</v>
      </c>
      <c r="G32" s="6" t="s">
        <v>197</v>
      </c>
      <c r="H32" s="13">
        <v>43906</v>
      </c>
      <c r="I32">
        <f>(C32/B32*100)</f>
        <v>4.1257367387033401</v>
      </c>
      <c r="J32">
        <f>(D32/B32*100)</f>
        <v>35.952848722986246</v>
      </c>
      <c r="K32">
        <f>(B32/F32*100)</f>
        <v>8.4994279918358066E-4</v>
      </c>
      <c r="L32" s="23" t="str" cm="1">
        <f t="array" ref="L32">_xlfn.IFS(I32&gt;5,"HIGH RISK",AND(I32&gt;=2,I32&lt;=5),"MODERATE RISK",I32&lt;2,"LOW RISK")</f>
        <v>MODERATE RISK</v>
      </c>
      <c r="M32" cm="1">
        <f t="array" ref="M32">_xlfn.IFS(L32="LOW RISK",1,L32="MODERATE RISK",2,L32="HIGH RISK",3)</f>
        <v>2</v>
      </c>
    </row>
    <row r="33" spans="1:13" ht="18" customHeight="1" x14ac:dyDescent="0.35">
      <c r="A33" s="7" t="s">
        <v>65</v>
      </c>
      <c r="B33" s="14">
        <v>220352</v>
      </c>
      <c r="C33" s="14">
        <v>30212</v>
      </c>
      <c r="D33" s="14">
        <v>81212</v>
      </c>
      <c r="E33" s="14">
        <v>108928</v>
      </c>
      <c r="F33" s="14">
        <v>65288306</v>
      </c>
      <c r="G33" s="7" t="s">
        <v>196</v>
      </c>
      <c r="H33" s="15">
        <v>43826</v>
      </c>
      <c r="I33">
        <f>(C33/B33*100)</f>
        <v>13.71079000871333</v>
      </c>
      <c r="J33">
        <f>(D33/B33*100)</f>
        <v>36.855576532094105</v>
      </c>
      <c r="K33">
        <f>(B33/F33*100)</f>
        <v>0.33750607650932157</v>
      </c>
      <c r="L33" s="23" t="str" cm="1">
        <f t="array" ref="L33">_xlfn.IFS(I33&gt;5,"HIGH RISK",AND(I33&gt;=2,I33&lt;=5),"MODERATE RISK",I33&lt;2,"LOW RISK")</f>
        <v>HIGH RISK</v>
      </c>
      <c r="M33" cm="1">
        <f t="array" ref="M33">_xlfn.IFS(L33="LOW RISK",1,L33="MODERATE RISK",2,L33="HIGH RISK",3)</f>
        <v>3</v>
      </c>
    </row>
    <row r="34" spans="1:13" ht="18" customHeight="1" x14ac:dyDescent="0.35">
      <c r="A34" s="6" t="s">
        <v>56</v>
      </c>
      <c r="B34" s="12">
        <v>92482</v>
      </c>
      <c r="C34" s="12">
        <v>4652</v>
      </c>
      <c r="D34" s="12">
        <v>34838</v>
      </c>
      <c r="E34" s="12">
        <v>52992</v>
      </c>
      <c r="F34" s="12">
        <v>102516525</v>
      </c>
      <c r="G34" s="6" t="s">
        <v>197</v>
      </c>
      <c r="H34" s="13">
        <v>43875</v>
      </c>
      <c r="I34">
        <f>(C34/B34*100)</f>
        <v>5.0301680326982545</v>
      </c>
      <c r="J34">
        <f>(D34/B34*100)</f>
        <v>37.670033087519734</v>
      </c>
      <c r="K34">
        <f>(B34/F34*100)</f>
        <v>9.0211797561417534E-2</v>
      </c>
      <c r="L34" s="23" t="str" cm="1">
        <f t="array" ref="L34">_xlfn.IFS(I34&gt;5,"HIGH RISK",AND(I34&gt;=2,I34&lt;=5),"MODERATE RISK",I34&lt;2,"LOW RISK")</f>
        <v>HIGH RISK</v>
      </c>
      <c r="M34" cm="1">
        <f t="array" ref="M34">_xlfn.IFS(L34="LOW RISK",1,L34="MODERATE RISK",2,L34="HIGH RISK",3)</f>
        <v>3</v>
      </c>
    </row>
    <row r="35" spans="1:13" ht="18" customHeight="1" x14ac:dyDescent="0.35">
      <c r="A35" s="6" t="s">
        <v>76</v>
      </c>
      <c r="B35" s="12">
        <v>1954</v>
      </c>
      <c r="C35" s="12">
        <v>26</v>
      </c>
      <c r="D35" s="12">
        <v>803</v>
      </c>
      <c r="E35" s="12">
        <v>1125</v>
      </c>
      <c r="F35" s="12">
        <v>1972277</v>
      </c>
      <c r="G35" s="6" t="s">
        <v>197</v>
      </c>
      <c r="H35" s="13">
        <v>43915</v>
      </c>
      <c r="I35">
        <f>(C35/B35*100)</f>
        <v>1.3306038894575232</v>
      </c>
      <c r="J35">
        <f>(D35/B35*100)</f>
        <v>41.095189355168884</v>
      </c>
      <c r="K35">
        <f>(B35/F35*100)</f>
        <v>9.9073304611877536E-2</v>
      </c>
      <c r="L35" s="23" t="str" cm="1">
        <f t="array" ref="L35">_xlfn.IFS(I35&gt;5,"HIGH RISK",AND(I35&gt;=2,I35&lt;=5),"MODERATE RISK",I35&lt;2,"LOW RISK")</f>
        <v>LOW RISK</v>
      </c>
      <c r="M35" cm="1">
        <f t="array" ref="M35">_xlfn.IFS(L35="LOW RISK",1,L35="MODERATE RISK",2,L35="HIGH RISK",3)</f>
        <v>1</v>
      </c>
    </row>
    <row r="36" spans="1:13" ht="18" customHeight="1" x14ac:dyDescent="0.35">
      <c r="A36" s="6" t="s">
        <v>88</v>
      </c>
      <c r="B36" s="12">
        <v>63985</v>
      </c>
      <c r="C36" s="12">
        <v>474</v>
      </c>
      <c r="D36" s="12">
        <v>27133</v>
      </c>
      <c r="E36" s="12">
        <v>36378</v>
      </c>
      <c r="F36" s="12">
        <v>9197590</v>
      </c>
      <c r="G36" s="6" t="s">
        <v>195</v>
      </c>
      <c r="H36" s="13">
        <v>43882</v>
      </c>
      <c r="I36">
        <f>(C36/B36*100)</f>
        <v>0.74079862467765878</v>
      </c>
      <c r="J36">
        <f>(D36/B36*100)</f>
        <v>42.405251230757209</v>
      </c>
      <c r="K36">
        <f>(B36/F36*100)</f>
        <v>0.69567136608611602</v>
      </c>
      <c r="L36" s="23" t="str" cm="1">
        <f t="array" ref="L36">_xlfn.IFS(I36&gt;5,"HIGH RISK",AND(I36&gt;=2,I36&lt;=5),"MODERATE RISK",I36&lt;2,"LOW RISK")</f>
        <v>LOW RISK</v>
      </c>
      <c r="M36" cm="1">
        <f t="array" ref="M36">_xlfn.IFS(L36="LOW RISK",1,L36="MODERATE RISK",2,L36="HIGH RISK",3)</f>
        <v>1</v>
      </c>
    </row>
    <row r="37" spans="1:13" ht="18" customHeight="1" x14ac:dyDescent="0.35">
      <c r="A37" s="7" t="s">
        <v>55</v>
      </c>
      <c r="B37" s="14">
        <v>81161</v>
      </c>
      <c r="C37" s="14">
        <v>5532</v>
      </c>
      <c r="D37" s="14">
        <v>34896</v>
      </c>
      <c r="E37" s="14">
        <v>40733</v>
      </c>
      <c r="F37" s="14">
        <v>17668824</v>
      </c>
      <c r="G37" s="7" t="s">
        <v>199</v>
      </c>
      <c r="H37" s="15">
        <v>43890</v>
      </c>
      <c r="I37">
        <f>(C37/B37*100)</f>
        <v>6.8160816155542685</v>
      </c>
      <c r="J37">
        <f>(D37/B37*100)</f>
        <v>42.996020256034299</v>
      </c>
      <c r="K37">
        <f>(B37/F37*100)</f>
        <v>0.45934579460410035</v>
      </c>
      <c r="L37" s="23" t="str" cm="1">
        <f t="array" ref="L37">_xlfn.IFS(I37&gt;5,"HIGH RISK",AND(I37&gt;=2,I37&lt;=5),"MODERATE RISK",I37&lt;2,"LOW RISK")</f>
        <v>HIGH RISK</v>
      </c>
      <c r="M37" cm="1">
        <f t="array" ref="M37">_xlfn.IFS(L37="LOW RISK",1,L37="MODERATE RISK",2,L37="HIGH RISK",3)</f>
        <v>3</v>
      </c>
    </row>
    <row r="38" spans="1:13" ht="18" customHeight="1" x14ac:dyDescent="0.35">
      <c r="A38" s="6" t="s">
        <v>11</v>
      </c>
      <c r="B38" s="12">
        <v>167416</v>
      </c>
      <c r="C38" s="12">
        <v>3059</v>
      </c>
      <c r="D38" s="12">
        <v>72575</v>
      </c>
      <c r="E38" s="12">
        <v>91782</v>
      </c>
      <c r="F38" s="12">
        <v>45236884</v>
      </c>
      <c r="G38" s="6" t="s">
        <v>199</v>
      </c>
      <c r="H38" s="13">
        <v>43893</v>
      </c>
      <c r="I38">
        <f>(C38/B38*100)</f>
        <v>1.827184976346347</v>
      </c>
      <c r="J38">
        <f>(D38/B38*100)</f>
        <v>43.350097959573759</v>
      </c>
      <c r="K38">
        <f>(B38/F38*100)</f>
        <v>0.37008738267649027</v>
      </c>
      <c r="L38" s="23" t="str" cm="1">
        <f t="array" ref="L38">_xlfn.IFS(I38&gt;5,"HIGH RISK",AND(I38&gt;=2,I38&lt;=5),"MODERATE RISK",I38&lt;2,"LOW RISK")</f>
        <v>LOW RISK</v>
      </c>
      <c r="M38" cm="1">
        <f t="array" ref="M38">_xlfn.IFS(L38="LOW RISK",1,L38="MODERATE RISK",2,L38="HIGH RISK",3)</f>
        <v>1</v>
      </c>
    </row>
    <row r="39" spans="1:13" ht="18" customHeight="1" x14ac:dyDescent="0.35">
      <c r="A39" s="6" t="s">
        <v>94</v>
      </c>
      <c r="B39" s="12">
        <v>17975</v>
      </c>
      <c r="C39" s="12">
        <v>285</v>
      </c>
      <c r="D39" s="12">
        <v>7833</v>
      </c>
      <c r="E39" s="12">
        <v>9857</v>
      </c>
      <c r="F39" s="12">
        <v>53881160</v>
      </c>
      <c r="G39" s="6" t="s">
        <v>197</v>
      </c>
      <c r="H39" s="13">
        <v>43903</v>
      </c>
      <c r="I39">
        <f>(C39/B39*100)</f>
        <v>1.5855354659248957</v>
      </c>
      <c r="J39">
        <f>(D39/B39*100)</f>
        <v>43.577190542420027</v>
      </c>
      <c r="K39">
        <f>(B39/F39*100)</f>
        <v>3.336045474893265E-2</v>
      </c>
      <c r="L39" s="23" t="str" cm="1">
        <f t="array" ref="L39">_xlfn.IFS(I39&gt;5,"HIGH RISK",AND(I39&gt;=2,I39&lt;=5),"MODERATE RISK",I39&lt;2,"LOW RISK")</f>
        <v>LOW RISK</v>
      </c>
      <c r="M39" cm="1">
        <f t="array" ref="M39">_xlfn.IFS(L39="LOW RISK",1,L39="MODERATE RISK",2,L39="HIGH RISK",3)</f>
        <v>1</v>
      </c>
    </row>
    <row r="40" spans="1:13" ht="18" customHeight="1" x14ac:dyDescent="0.35">
      <c r="A40" s="6" t="s">
        <v>62</v>
      </c>
      <c r="B40" s="12">
        <v>14547</v>
      </c>
      <c r="C40" s="12">
        <v>228</v>
      </c>
      <c r="D40" s="12">
        <v>6386</v>
      </c>
      <c r="E40" s="12">
        <v>7933</v>
      </c>
      <c r="F40" s="12">
        <v>115223736</v>
      </c>
      <c r="G40" s="6" t="s">
        <v>197</v>
      </c>
      <c r="H40" s="13">
        <v>43903</v>
      </c>
      <c r="I40">
        <f>(C40/B40*100)</f>
        <v>1.5673334708187256</v>
      </c>
      <c r="J40">
        <f>(D40/B40*100)</f>
        <v>43.899085722142026</v>
      </c>
      <c r="K40">
        <f>(B40/F40*100)</f>
        <v>1.2625002890029532E-2</v>
      </c>
      <c r="L40" s="23" t="str" cm="1">
        <f t="array" ref="L40">_xlfn.IFS(I40&gt;5,"HIGH RISK",AND(I40&gt;=2,I40&lt;=5),"MODERATE RISK",I40&lt;2,"LOW RISK")</f>
        <v>LOW RISK</v>
      </c>
      <c r="M40" cm="1">
        <f t="array" ref="M40">_xlfn.IFS(L40="LOW RISK",1,L40="MODERATE RISK",2,L40="HIGH RISK",3)</f>
        <v>1</v>
      </c>
    </row>
    <row r="41" spans="1:13" ht="18" customHeight="1" x14ac:dyDescent="0.35">
      <c r="A41" s="6" t="s">
        <v>100</v>
      </c>
      <c r="B41" s="12">
        <v>3882</v>
      </c>
      <c r="C41" s="12">
        <v>51</v>
      </c>
      <c r="D41" s="12">
        <v>1709</v>
      </c>
      <c r="E41" s="12">
        <v>2122</v>
      </c>
      <c r="F41" s="12">
        <v>6822220</v>
      </c>
      <c r="G41" s="6" t="s">
        <v>195</v>
      </c>
      <c r="H41" s="13">
        <v>43882</v>
      </c>
      <c r="I41">
        <f>(C41/B41*100)</f>
        <v>1.313755795981453</v>
      </c>
      <c r="J41">
        <f>(D41/B41*100)</f>
        <v>44.023699124162803</v>
      </c>
      <c r="K41">
        <f>(B41/F41*100)</f>
        <v>5.6902298665243864E-2</v>
      </c>
      <c r="L41" s="23" t="str" cm="1">
        <f t="array" ref="L41">_xlfn.IFS(I41&gt;5,"HIGH RISK",AND(I41&gt;=2,I41&lt;=5),"MODERATE RISK",I41&lt;2,"LOW RISK")</f>
        <v>LOW RISK</v>
      </c>
      <c r="M41" cm="1">
        <f t="array" ref="M41">_xlfn.IFS(L41="LOW RISK",1,L41="MODERATE RISK",2,L41="HIGH RISK",3)</f>
        <v>1</v>
      </c>
    </row>
    <row r="42" spans="1:13" ht="18" customHeight="1" x14ac:dyDescent="0.35">
      <c r="A42" s="6" t="s">
        <v>128</v>
      </c>
      <c r="B42" s="12">
        <v>41180</v>
      </c>
      <c r="C42" s="12">
        <v>860</v>
      </c>
      <c r="D42" s="12">
        <v>18203</v>
      </c>
      <c r="E42" s="12">
        <v>22117</v>
      </c>
      <c r="F42" s="12">
        <v>206606300</v>
      </c>
      <c r="G42" s="6" t="s">
        <v>197</v>
      </c>
      <c r="H42" s="13">
        <v>43888</v>
      </c>
      <c r="I42">
        <f>(C42/B42*100)</f>
        <v>2.0883924235065567</v>
      </c>
      <c r="J42">
        <f>(D42/B42*100)</f>
        <v>44.203496843127731</v>
      </c>
      <c r="K42">
        <f>(B42/F42*100)</f>
        <v>1.9931628415977634E-2</v>
      </c>
      <c r="L42" s="23" t="str" cm="1">
        <f t="array" ref="L42">_xlfn.IFS(I42&gt;5,"HIGH RISK",AND(I42&gt;=2,I42&lt;=5),"MODERATE RISK",I42&lt;2,"LOW RISK")</f>
        <v>MODERATE RISK</v>
      </c>
      <c r="M42" cm="1">
        <f t="array" ref="M42">_xlfn.IFS(L42="LOW RISK",1,L42="MODERATE RISK",2,L42="HIGH RISK",3)</f>
        <v>2</v>
      </c>
    </row>
    <row r="43" spans="1:13" ht="18" customHeight="1" x14ac:dyDescent="0.35">
      <c r="A43" s="7" t="s">
        <v>61</v>
      </c>
      <c r="B43" s="14">
        <v>2316</v>
      </c>
      <c r="C43" s="14">
        <v>34</v>
      </c>
      <c r="D43" s="14">
        <v>1025</v>
      </c>
      <c r="E43" s="14">
        <v>1257</v>
      </c>
      <c r="F43" s="14">
        <v>1161348</v>
      </c>
      <c r="G43" s="7" t="s">
        <v>197</v>
      </c>
      <c r="H43" s="15">
        <v>43904</v>
      </c>
      <c r="I43">
        <f>(C43/B43*100)</f>
        <v>1.468048359240069</v>
      </c>
      <c r="J43">
        <f>(D43/B43*100)</f>
        <v>44.2573402417962</v>
      </c>
      <c r="K43">
        <f>(B43/F43*100)</f>
        <v>0.19942342863637774</v>
      </c>
      <c r="L43" s="23" t="str" cm="1">
        <f t="array" ref="L43">_xlfn.IFS(I43&gt;5,"HIGH RISK",AND(I43&gt;=2,I43&lt;=5),"MODERATE RISK",I43&lt;2,"LOW RISK")</f>
        <v>LOW RISK</v>
      </c>
      <c r="M43" cm="1">
        <f t="array" ref="M43">_xlfn.IFS(L43="LOW RISK",1,L43="MODERATE RISK",2,L43="HIGH RISK",3)</f>
        <v>1</v>
      </c>
    </row>
    <row r="44" spans="1:13" ht="18" customHeight="1" x14ac:dyDescent="0.35">
      <c r="A44" s="6" t="s">
        <v>108</v>
      </c>
      <c r="B44" s="12">
        <v>3664</v>
      </c>
      <c r="C44" s="12">
        <v>99</v>
      </c>
      <c r="D44" s="12">
        <v>1645</v>
      </c>
      <c r="E44" s="12">
        <v>1920</v>
      </c>
      <c r="F44" s="12">
        <v>19174839</v>
      </c>
      <c r="G44" s="6" t="s">
        <v>197</v>
      </c>
      <c r="H44" s="13">
        <v>43922</v>
      </c>
      <c r="I44">
        <f>(C44/B44*100)</f>
        <v>2.7019650655021836</v>
      </c>
      <c r="J44">
        <f>(D44/B44*100)</f>
        <v>44.896288209606986</v>
      </c>
      <c r="K44">
        <f>(B44/F44*100)</f>
        <v>1.910837426066524E-2</v>
      </c>
      <c r="L44" s="23" t="str" cm="1">
        <f t="array" ref="L44">_xlfn.IFS(I44&gt;5,"HIGH RISK",AND(I44&gt;=2,I44&lt;=5),"MODERATE RISK",I44&lt;2,"LOW RISK")</f>
        <v>MODERATE RISK</v>
      </c>
      <c r="M44" cm="1">
        <f t="array" ref="M44">_xlfn.IFS(L44="LOW RISK",1,L44="MODERATE RISK",2,L44="HIGH RISK",3)</f>
        <v>2</v>
      </c>
    </row>
    <row r="45" spans="1:13" ht="18" customHeight="1" x14ac:dyDescent="0.35">
      <c r="A45" s="7" t="s">
        <v>77</v>
      </c>
      <c r="B45" s="14">
        <v>389</v>
      </c>
      <c r="C45" s="14">
        <v>20</v>
      </c>
      <c r="D45" s="14">
        <v>181</v>
      </c>
      <c r="E45" s="14">
        <v>188</v>
      </c>
      <c r="F45" s="14">
        <v>786936</v>
      </c>
      <c r="G45" s="7" t="s">
        <v>199</v>
      </c>
      <c r="H45" s="15">
        <v>43902</v>
      </c>
      <c r="I45">
        <f>(C45/B45*100)</f>
        <v>5.1413881748071981</v>
      </c>
      <c r="J45">
        <f>(D45/B45*100)</f>
        <v>46.529562982005139</v>
      </c>
      <c r="K45">
        <f>(B45/F45*100)</f>
        <v>4.9432228287942089E-2</v>
      </c>
      <c r="L45" s="23" t="str" cm="1">
        <f t="array" ref="L45">_xlfn.IFS(I45&gt;5,"HIGH RISK",AND(I45&gt;=2,I45&lt;=5),"MODERATE RISK",I45&lt;2,"LOW RISK")</f>
        <v>HIGH RISK</v>
      </c>
      <c r="M45" cm="1">
        <f t="array" ref="M45">_xlfn.IFS(L45="LOW RISK",1,L45="MODERATE RISK",2,L45="HIGH RISK",3)</f>
        <v>3</v>
      </c>
    </row>
    <row r="46" spans="1:13" ht="18" customHeight="1" x14ac:dyDescent="0.35">
      <c r="A46" s="7" t="s">
        <v>26</v>
      </c>
      <c r="B46" s="14">
        <v>10498</v>
      </c>
      <c r="C46" s="14">
        <v>294</v>
      </c>
      <c r="D46" s="14">
        <v>4930</v>
      </c>
      <c r="E46" s="14">
        <v>5274</v>
      </c>
      <c r="F46" s="14">
        <v>3278650</v>
      </c>
      <c r="G46" s="7" t="s">
        <v>196</v>
      </c>
      <c r="H46" s="15">
        <v>43895</v>
      </c>
      <c r="I46">
        <f>(C46/B46*100)</f>
        <v>2.8005334349399886</v>
      </c>
      <c r="J46">
        <f>(D46/B46*100)</f>
        <v>46.961325966850829</v>
      </c>
      <c r="K46">
        <f>(B46/F46*100)</f>
        <v>0.32019276226495663</v>
      </c>
      <c r="L46" s="23" t="str" cm="1">
        <f t="array" ref="L46">_xlfn.IFS(I46&gt;5,"HIGH RISK",AND(I46&gt;=2,I46&lt;=5),"MODERATE RISK",I46&lt;2,"LOW RISK")</f>
        <v>MODERATE RISK</v>
      </c>
      <c r="M46" cm="1">
        <f t="array" ref="M46">_xlfn.IFS(L46="LOW RISK",1,L46="MODERATE RISK",2,L46="HIGH RISK",3)</f>
        <v>2</v>
      </c>
    </row>
    <row r="47" spans="1:13" ht="18" customHeight="1" x14ac:dyDescent="0.35">
      <c r="A47" s="6" t="s">
        <v>54</v>
      </c>
      <c r="B47" s="12">
        <v>64156</v>
      </c>
      <c r="C47" s="12">
        <v>1083</v>
      </c>
      <c r="D47" s="12">
        <v>30204</v>
      </c>
      <c r="E47" s="12">
        <v>32869</v>
      </c>
      <c r="F47" s="12">
        <v>10858648</v>
      </c>
      <c r="G47" s="6" t="s">
        <v>198</v>
      </c>
      <c r="H47" s="13">
        <v>43891</v>
      </c>
      <c r="I47">
        <f>(C47/B47*100)</f>
        <v>1.688072822495168</v>
      </c>
      <c r="J47">
        <f>(D47/B47*100)</f>
        <v>47.078994949809839</v>
      </c>
      <c r="K47">
        <f>(B47/F47*100)</f>
        <v>0.59082861881147641</v>
      </c>
      <c r="L47" s="23" t="str" cm="1">
        <f t="array" ref="L47">_xlfn.IFS(I47&gt;5,"HIGH RISK",AND(I47&gt;=2,I47&lt;=5),"MODERATE RISK",I47&lt;2,"LOW RISK")</f>
        <v>LOW RISK</v>
      </c>
      <c r="M47" cm="1">
        <f t="array" ref="M47">_xlfn.IFS(L47="LOW RISK",1,L47="MODERATE RISK",2,L47="HIGH RISK",3)</f>
        <v>1</v>
      </c>
    </row>
    <row r="48" spans="1:13" ht="18" customHeight="1" x14ac:dyDescent="0.35">
      <c r="A48" s="7" t="s">
        <v>157</v>
      </c>
      <c r="B48" s="14">
        <v>3196</v>
      </c>
      <c r="C48" s="14">
        <v>93</v>
      </c>
      <c r="D48" s="14">
        <v>1543</v>
      </c>
      <c r="E48" s="14">
        <v>1560</v>
      </c>
      <c r="F48" s="14">
        <v>15933012</v>
      </c>
      <c r="G48" s="7" t="s">
        <v>197</v>
      </c>
      <c r="H48" s="15">
        <v>43906</v>
      </c>
      <c r="I48">
        <f>(C48/B48*100)</f>
        <v>2.9098873591989989</v>
      </c>
      <c r="J48">
        <f>(D48/B48*100)</f>
        <v>48.279098873591991</v>
      </c>
      <c r="K48">
        <f>(B48/F48*100)</f>
        <v>2.0058981942648383E-2</v>
      </c>
      <c r="L48" s="23" t="str" cm="1">
        <f t="array" ref="L48">_xlfn.IFS(I48&gt;5,"HIGH RISK",AND(I48&gt;=2,I48&lt;=5),"MODERATE RISK",I48&lt;2,"LOW RISK")</f>
        <v>MODERATE RISK</v>
      </c>
      <c r="M48" cm="1">
        <f t="array" ref="M48">_xlfn.IFS(L48="LOW RISK",1,L48="MODERATE RISK",2,L48="HIGH RISK",3)</f>
        <v>2</v>
      </c>
    </row>
    <row r="49" spans="1:13" ht="18" customHeight="1" x14ac:dyDescent="0.35">
      <c r="A49" s="6" t="s">
        <v>187</v>
      </c>
      <c r="B49" s="12">
        <v>1691</v>
      </c>
      <c r="C49" s="12">
        <v>483</v>
      </c>
      <c r="D49" s="12">
        <v>833</v>
      </c>
      <c r="E49" s="12">
        <v>375</v>
      </c>
      <c r="F49" s="12">
        <v>29886897</v>
      </c>
      <c r="G49" s="6" t="s">
        <v>195</v>
      </c>
      <c r="H49" s="13">
        <v>43931</v>
      </c>
      <c r="I49">
        <f>(C49/B49*100)</f>
        <v>28.562980484920164</v>
      </c>
      <c r="J49">
        <f>(D49/B49*100)</f>
        <v>49.260792430514485</v>
      </c>
      <c r="K49">
        <f>(B49/F49*100)</f>
        <v>5.6579978844909862E-3</v>
      </c>
      <c r="L49" s="23" t="str" cm="1">
        <f t="array" ref="L49">_xlfn.IFS(I49&gt;5,"HIGH RISK",AND(I49&gt;=2,I49&lt;=5),"MODERATE RISK",I49&lt;2,"LOW RISK")</f>
        <v>HIGH RISK</v>
      </c>
      <c r="M49" cm="1">
        <f t="array" ref="M49">_xlfn.IFS(L49="LOW RISK",1,L49="MODERATE RISK",2,L49="HIGH RISK",3)</f>
        <v>3</v>
      </c>
    </row>
    <row r="50" spans="1:13" ht="18" customHeight="1" x14ac:dyDescent="0.35">
      <c r="A50" s="6" t="s">
        <v>160</v>
      </c>
      <c r="B50" s="12">
        <v>2305</v>
      </c>
      <c r="C50" s="12">
        <v>46</v>
      </c>
      <c r="D50" s="12">
        <v>1175</v>
      </c>
      <c r="E50" s="12">
        <v>1084</v>
      </c>
      <c r="F50" s="12">
        <v>11206572</v>
      </c>
      <c r="G50" s="6" t="s">
        <v>197</v>
      </c>
      <c r="H50" s="13">
        <v>43926</v>
      </c>
      <c r="I50">
        <f>(C50/B50*100)</f>
        <v>1.9956616052060738</v>
      </c>
      <c r="J50">
        <f>(D50/B50*100)</f>
        <v>50.97613882863341</v>
      </c>
      <c r="K50">
        <f>(B50/F50*100)</f>
        <v>2.0568287965311783E-2</v>
      </c>
      <c r="L50" s="23" t="str" cm="1">
        <f t="array" ref="L50">_xlfn.IFS(I50&gt;5,"HIGH RISK",AND(I50&gt;=2,I50&lt;=5),"MODERATE RISK",I50&lt;2,"LOW RISK")</f>
        <v>LOW RISK</v>
      </c>
      <c r="M50" cm="1">
        <f t="array" ref="M50">_xlfn.IFS(L50="LOW RISK",1,L50="MODERATE RISK",2,L50="HIGH RISK",3)</f>
        <v>1</v>
      </c>
    </row>
    <row r="51" spans="1:13" ht="18" customHeight="1" x14ac:dyDescent="0.35">
      <c r="A51" s="7" t="s">
        <v>41</v>
      </c>
      <c r="B51" s="14">
        <v>257101</v>
      </c>
      <c r="C51" s="14">
        <v>8777</v>
      </c>
      <c r="D51" s="14">
        <v>131161</v>
      </c>
      <c r="E51" s="14">
        <v>117163</v>
      </c>
      <c r="F51" s="14">
        <v>50936262</v>
      </c>
      <c r="G51" s="7" t="s">
        <v>199</v>
      </c>
      <c r="H51" s="15">
        <v>43896</v>
      </c>
      <c r="I51">
        <f>(C51/B51*100)</f>
        <v>3.4138334740043796</v>
      </c>
      <c r="J51">
        <f>(D51/B51*100)</f>
        <v>51.015359722443712</v>
      </c>
      <c r="K51">
        <f>(B51/F51*100)</f>
        <v>0.50475042711222118</v>
      </c>
      <c r="L51" s="23" t="str" cm="1">
        <f t="array" ref="L51">_xlfn.IFS(I51&gt;5,"HIGH RISK",AND(I51&gt;=2,I51&lt;=5),"MODERATE RISK",I51&lt;2,"LOW RISK")</f>
        <v>MODERATE RISK</v>
      </c>
      <c r="M51" cm="1">
        <f t="array" ref="M51">_xlfn.IFS(L51="LOW RISK",1,L51="MODERATE RISK",2,L51="HIGH RISK",3)</f>
        <v>2</v>
      </c>
    </row>
    <row r="52" spans="1:13" ht="18" customHeight="1" x14ac:dyDescent="0.35">
      <c r="A52" s="7" t="s">
        <v>57</v>
      </c>
      <c r="B52" s="14">
        <v>15035</v>
      </c>
      <c r="C52" s="14">
        <v>408</v>
      </c>
      <c r="D52" s="14">
        <v>7778</v>
      </c>
      <c r="E52" s="14">
        <v>6849</v>
      </c>
      <c r="F52" s="14">
        <v>6489514</v>
      </c>
      <c r="G52" s="7" t="s">
        <v>198</v>
      </c>
      <c r="H52" s="15">
        <v>43909</v>
      </c>
      <c r="I52">
        <f>(C52/B52*100)</f>
        <v>2.7136681077485867</v>
      </c>
      <c r="J52">
        <f>(D52/B52*100)</f>
        <v>51.732623877618892</v>
      </c>
      <c r="K52">
        <f>(B52/F52*100)</f>
        <v>0.23168144794818227</v>
      </c>
      <c r="L52" s="23" t="str" cm="1">
        <f t="array" ref="L52">_xlfn.IFS(I52&gt;5,"HIGH RISK",AND(I52&gt;=2,I52&lt;=5),"MODERATE RISK",I52&lt;2,"LOW RISK")</f>
        <v>MODERATE RISK</v>
      </c>
      <c r="M52" cm="1">
        <f t="array" ref="M52">_xlfn.IFS(L52="LOW RISK",1,L52="MODERATE RISK",2,L52="HIGH RISK",3)</f>
        <v>2</v>
      </c>
    </row>
    <row r="53" spans="1:13" ht="18" customHeight="1" x14ac:dyDescent="0.35">
      <c r="A53" s="7" t="s">
        <v>143</v>
      </c>
      <c r="B53" s="14">
        <v>1879</v>
      </c>
      <c r="C53" s="14">
        <v>5</v>
      </c>
      <c r="D53" s="14">
        <v>975</v>
      </c>
      <c r="E53" s="14">
        <v>899</v>
      </c>
      <c r="F53" s="14">
        <v>12981546</v>
      </c>
      <c r="G53" s="7" t="s">
        <v>197</v>
      </c>
      <c r="H53" s="15">
        <v>43904</v>
      </c>
      <c r="I53">
        <f>(C53/B53*100)</f>
        <v>0.26609898882384247</v>
      </c>
      <c r="J53">
        <f>(D53/B53*100)</f>
        <v>51.889302820649284</v>
      </c>
      <c r="K53">
        <f>(B53/F53*100)</f>
        <v>1.4474393111575461E-2</v>
      </c>
      <c r="L53" s="23" t="str" cm="1">
        <f t="array" ref="L53">_xlfn.IFS(I53&gt;5,"HIGH RISK",AND(I53&gt;=2,I53&lt;=5),"MODERATE RISK",I53&lt;2,"LOW RISK")</f>
        <v>LOW RISK</v>
      </c>
      <c r="M53" cm="1">
        <f t="array" ref="M53">_xlfn.IFS(L53="LOW RISK",1,L53="MODERATE RISK",2,L53="HIGH RISK",3)</f>
        <v>1</v>
      </c>
    </row>
    <row r="54" spans="1:13" ht="18" customHeight="1" x14ac:dyDescent="0.35">
      <c r="A54" s="7" t="s">
        <v>163</v>
      </c>
      <c r="B54" s="14">
        <v>11424</v>
      </c>
      <c r="C54" s="14">
        <v>720</v>
      </c>
      <c r="D54" s="14">
        <v>5939</v>
      </c>
      <c r="E54" s="14">
        <v>4765</v>
      </c>
      <c r="F54" s="14">
        <v>43943536</v>
      </c>
      <c r="G54" s="7" t="s">
        <v>197</v>
      </c>
      <c r="H54" s="15">
        <v>43903</v>
      </c>
      <c r="I54">
        <f>(C54/B54*100)</f>
        <v>6.3025210084033612</v>
      </c>
      <c r="J54">
        <f>(D54/B54*100)</f>
        <v>51.987044817927178</v>
      </c>
      <c r="K54">
        <f>(B54/F54*100)</f>
        <v>2.5996997601649537E-2</v>
      </c>
      <c r="L54" s="23" t="str" cm="1">
        <f t="array" ref="L54">_xlfn.IFS(I54&gt;5,"HIGH RISK",AND(I54&gt;=2,I54&lt;=5),"MODERATE RISK",I54&lt;2,"LOW RISK")</f>
        <v>HIGH RISK</v>
      </c>
      <c r="M54" cm="1">
        <f t="array" ref="M54">_xlfn.IFS(L54="LOW RISK",1,L54="MODERATE RISK",2,L54="HIGH RISK",3)</f>
        <v>3</v>
      </c>
    </row>
    <row r="55" spans="1:13" ht="18" customHeight="1" x14ac:dyDescent="0.35">
      <c r="A55" s="7" t="s">
        <v>30</v>
      </c>
      <c r="B55" s="14">
        <v>10621</v>
      </c>
      <c r="C55" s="14">
        <v>347</v>
      </c>
      <c r="D55" s="14">
        <v>5585</v>
      </c>
      <c r="E55" s="14">
        <v>4689</v>
      </c>
      <c r="F55" s="14">
        <v>6942854</v>
      </c>
      <c r="G55" s="7" t="s">
        <v>196</v>
      </c>
      <c r="H55" s="15">
        <v>43898</v>
      </c>
      <c r="I55">
        <f>(C55/B55*100)</f>
        <v>3.2671123246398639</v>
      </c>
      <c r="J55">
        <f>(D55/B55*100)</f>
        <v>52.584502400903865</v>
      </c>
      <c r="K55">
        <f>(B55/F55*100)</f>
        <v>0.15297743550418891</v>
      </c>
      <c r="L55" s="23" t="str" cm="1">
        <f t="array" ref="L55">_xlfn.IFS(I55&gt;5,"HIGH RISK",AND(I55&gt;=2,I55&lt;=5),"MODERATE RISK",I55&lt;2,"LOW RISK")</f>
        <v>MODERATE RISK</v>
      </c>
      <c r="M55" cm="1">
        <f t="array" ref="M55">_xlfn.IFS(L55="LOW RISK",1,L55="MODERATE RISK",2,L55="HIGH RISK",3)</f>
        <v>2</v>
      </c>
    </row>
    <row r="56" spans="1:13" ht="18" customHeight="1" x14ac:dyDescent="0.35">
      <c r="A56" s="7" t="s">
        <v>22</v>
      </c>
      <c r="B56" s="14">
        <v>48</v>
      </c>
      <c r="C56" s="14">
        <v>2</v>
      </c>
      <c r="D56" s="14">
        <v>26</v>
      </c>
      <c r="E56" s="14">
        <v>20</v>
      </c>
      <c r="F56" s="14">
        <v>398312</v>
      </c>
      <c r="G56" s="7" t="s">
        <v>198</v>
      </c>
      <c r="H56" s="15">
        <v>43913</v>
      </c>
      <c r="I56">
        <f>(C56/B56*100)</f>
        <v>4.1666666666666661</v>
      </c>
      <c r="J56">
        <f>(D56/B56*100)</f>
        <v>54.166666666666664</v>
      </c>
      <c r="K56">
        <f>(B56/F56*100)</f>
        <v>1.2050854606439173E-2</v>
      </c>
      <c r="L56" s="23" t="str" cm="1">
        <f t="array" ref="L56">_xlfn.IFS(I56&gt;5,"HIGH RISK",AND(I56&gt;=2,I56&lt;=5),"MODERATE RISK",I56&lt;2,"LOW RISK")</f>
        <v>MODERATE RISK</v>
      </c>
      <c r="M56" cm="1">
        <f t="array" ref="M56">_xlfn.IFS(L56="LOW RISK",1,L56="MODERATE RISK",2,L56="HIGH RISK",3)</f>
        <v>2</v>
      </c>
    </row>
    <row r="57" spans="1:13" ht="18" customHeight="1" x14ac:dyDescent="0.35">
      <c r="A57" s="7" t="s">
        <v>95</v>
      </c>
      <c r="B57" s="14">
        <v>7413</v>
      </c>
      <c r="C57" s="14">
        <v>185</v>
      </c>
      <c r="D57" s="14">
        <v>4027</v>
      </c>
      <c r="E57" s="14">
        <v>3201</v>
      </c>
      <c r="F57" s="25">
        <v>1790152</v>
      </c>
      <c r="G57" s="7" t="s">
        <v>196</v>
      </c>
      <c r="H57" s="15">
        <v>43903</v>
      </c>
      <c r="I57">
        <f>(C57/B57*100)</f>
        <v>2.4956158100634021</v>
      </c>
      <c r="J57">
        <f>(D57/B57*100)</f>
        <v>54.323485768244971</v>
      </c>
      <c r="K57">
        <f>(B57/F57*100)</f>
        <v>0.41409891450558389</v>
      </c>
      <c r="L57" s="23" t="str" cm="1">
        <f t="array" ref="L57">_xlfn.IFS(I57&gt;5,"HIGH RISK",AND(I57&gt;=2,I57&lt;=5),"MODERATE RISK",I57&lt;2,"LOW RISK")</f>
        <v>MODERATE RISK</v>
      </c>
      <c r="M57" cm="1">
        <f t="array" ref="M57">_xlfn.IFS(L57="LOW RISK",1,L57="MODERATE RISK",2,L57="HIGH RISK",3)</f>
        <v>2</v>
      </c>
    </row>
    <row r="58" spans="1:13" ht="18" customHeight="1" x14ac:dyDescent="0.35">
      <c r="A58" s="7" t="s">
        <v>129</v>
      </c>
      <c r="B58" s="14">
        <v>10213</v>
      </c>
      <c r="C58" s="14">
        <v>466</v>
      </c>
      <c r="D58" s="14">
        <v>5564</v>
      </c>
      <c r="E58" s="14">
        <v>4183</v>
      </c>
      <c r="F58" s="14">
        <v>2083365</v>
      </c>
      <c r="G58" s="7" t="s">
        <v>196</v>
      </c>
      <c r="H58" s="15">
        <v>43887</v>
      </c>
      <c r="I58">
        <f>(C58/B58*100)</f>
        <v>4.562812102222658</v>
      </c>
      <c r="J58">
        <f>(D58/B58*100)</f>
        <v>54.479584842847352</v>
      </c>
      <c r="K58">
        <f>(B58/F58*100)</f>
        <v>0.49021654870845965</v>
      </c>
      <c r="L58" s="23" t="str" cm="1">
        <f t="array" ref="L58">_xlfn.IFS(I58&gt;5,"HIGH RISK",AND(I58&gt;=2,I58&lt;=5),"MODERATE RISK",I58&lt;2,"LOW RISK")</f>
        <v>MODERATE RISK</v>
      </c>
      <c r="M58" cm="1">
        <f t="array" ref="M58">_xlfn.IFS(L58="LOW RISK",1,L58="MODERATE RISK",2,L58="HIGH RISK",3)</f>
        <v>2</v>
      </c>
    </row>
    <row r="59" spans="1:13" ht="18" customHeight="1" x14ac:dyDescent="0.35">
      <c r="A59" s="7" t="s">
        <v>182</v>
      </c>
      <c r="B59" s="14">
        <v>21209</v>
      </c>
      <c r="C59" s="14">
        <v>121</v>
      </c>
      <c r="D59" s="14">
        <v>11674</v>
      </c>
      <c r="E59" s="14">
        <v>9414</v>
      </c>
      <c r="F59" s="14">
        <v>33516027</v>
      </c>
      <c r="G59" s="7" t="s">
        <v>195</v>
      </c>
      <c r="H59" s="15">
        <v>43905</v>
      </c>
      <c r="I59">
        <f>(C59/B59*100)</f>
        <v>0.5705125182705455</v>
      </c>
      <c r="J59">
        <f>(D59/B59*100)</f>
        <v>55.042670564383045</v>
      </c>
      <c r="K59">
        <f>(B59/F59*100)</f>
        <v>6.3280173392866637E-2</v>
      </c>
      <c r="L59" s="23" t="str" cm="1">
        <f t="array" ref="L59">_xlfn.IFS(I59&gt;5,"HIGH RISK",AND(I59&gt;=2,I59&lt;=5),"MODERATE RISK",I59&lt;2,"LOW RISK")</f>
        <v>LOW RISK</v>
      </c>
      <c r="M59" cm="1">
        <f t="array" ref="M59">_xlfn.IFS(L59="LOW RISK",1,L59="MODERATE RISK",2,L59="HIGH RISK",3)</f>
        <v>1</v>
      </c>
    </row>
    <row r="60" spans="1:13" ht="18" customHeight="1" x14ac:dyDescent="0.35">
      <c r="A60" s="7" t="s">
        <v>161</v>
      </c>
      <c r="B60" s="14">
        <v>272421</v>
      </c>
      <c r="C60" s="14">
        <v>28432</v>
      </c>
      <c r="D60" s="14">
        <v>150376</v>
      </c>
      <c r="E60" s="14">
        <v>93613</v>
      </c>
      <c r="F60" s="14">
        <v>46756648</v>
      </c>
      <c r="G60" s="7" t="s">
        <v>196</v>
      </c>
      <c r="H60" s="15">
        <v>43861</v>
      </c>
      <c r="I60">
        <f>(C60/B60*100)</f>
        <v>10.436787178668311</v>
      </c>
      <c r="J60">
        <f>(D60/B60*100)</f>
        <v>55.199856105072662</v>
      </c>
      <c r="K60">
        <f>(B60/F60*100)</f>
        <v>0.58263586388827537</v>
      </c>
      <c r="L60" s="23" t="str" cm="1">
        <f t="array" ref="L60">_xlfn.IFS(I60&gt;5,"HIGH RISK",AND(I60&gt;=2,I60&lt;=5),"MODERATE RISK",I60&lt;2,"LOW RISK")</f>
        <v>HIGH RISK</v>
      </c>
      <c r="M60" cm="1">
        <f t="array" ref="M60">_xlfn.IFS(L60="LOW RISK",1,L60="MODERATE RISK",2,L60="HIGH RISK",3)</f>
        <v>3</v>
      </c>
    </row>
    <row r="61" spans="1:13" ht="18" customHeight="1" x14ac:dyDescent="0.35">
      <c r="A61" s="6" t="s">
        <v>102</v>
      </c>
      <c r="B61" s="12">
        <v>1167</v>
      </c>
      <c r="C61" s="12">
        <v>72</v>
      </c>
      <c r="D61" s="12">
        <v>646</v>
      </c>
      <c r="E61" s="12">
        <v>449</v>
      </c>
      <c r="F61" s="12">
        <v>5068618</v>
      </c>
      <c r="G61" s="6" t="s">
        <v>197</v>
      </c>
      <c r="H61" s="13">
        <v>43906</v>
      </c>
      <c r="I61">
        <f>(C61/B61*100)</f>
        <v>6.1696658097686372</v>
      </c>
      <c r="J61">
        <f>(D61/B61*100)</f>
        <v>55.355612682090829</v>
      </c>
      <c r="K61">
        <f>(B61/F61*100)</f>
        <v>2.3024027456793942E-2</v>
      </c>
      <c r="L61" s="23" t="str" cm="1">
        <f t="array" ref="L61">_xlfn.IFS(I61&gt;5,"HIGH RISK",AND(I61&gt;=2,I61&lt;=5),"MODERATE RISK",I61&lt;2,"LOW RISK")</f>
        <v>HIGH RISK</v>
      </c>
      <c r="M61" cm="1">
        <f t="array" ref="M61">_xlfn.IFS(L61="LOW RISK",1,L61="MODERATE RISK",2,L61="HIGH RISK",3)</f>
        <v>3</v>
      </c>
    </row>
    <row r="62" spans="1:13" ht="18" customHeight="1" x14ac:dyDescent="0.35">
      <c r="A62" s="7" t="s">
        <v>178</v>
      </c>
      <c r="B62" s="14">
        <v>67096</v>
      </c>
      <c r="C62" s="14">
        <v>1636</v>
      </c>
      <c r="D62" s="14">
        <v>37202</v>
      </c>
      <c r="E62" s="14">
        <v>28258</v>
      </c>
      <c r="F62" s="14">
        <v>43705858</v>
      </c>
      <c r="G62" s="7" t="s">
        <v>196</v>
      </c>
      <c r="H62" s="15">
        <v>43893</v>
      </c>
      <c r="I62">
        <f>(C62/B62*100)</f>
        <v>2.4382973649695958</v>
      </c>
      <c r="J62">
        <f>(D62/B62*100)</f>
        <v>55.445928222248718</v>
      </c>
      <c r="K62">
        <f>(B62/F62*100)</f>
        <v>0.15351717840661086</v>
      </c>
      <c r="L62" s="23" t="str" cm="1">
        <f t="array" ref="L62">_xlfn.IFS(I62&gt;5,"HIGH RISK",AND(I62&gt;=2,I62&lt;=5),"MODERATE RISK",I62&lt;2,"LOW RISK")</f>
        <v>MODERATE RISK</v>
      </c>
      <c r="M62" cm="1">
        <f t="array" ref="M62">_xlfn.IFS(L62="LOW RISK",1,L62="MODERATE RISK",2,L62="HIGH RISK",3)</f>
        <v>2</v>
      </c>
    </row>
    <row r="63" spans="1:13" ht="18" customHeight="1" x14ac:dyDescent="0.35">
      <c r="A63" s="7" t="s">
        <v>18</v>
      </c>
      <c r="B63" s="14">
        <v>226225</v>
      </c>
      <c r="C63" s="14">
        <v>2965</v>
      </c>
      <c r="D63" s="14">
        <v>125683</v>
      </c>
      <c r="E63" s="14">
        <v>97577</v>
      </c>
      <c r="F63" s="14">
        <v>164851401</v>
      </c>
      <c r="G63" s="7" t="s">
        <v>195</v>
      </c>
      <c r="H63" s="15">
        <v>43898</v>
      </c>
      <c r="I63">
        <f>(C63/B63*100)</f>
        <v>1.310642059896121</v>
      </c>
      <c r="J63">
        <f>(D63/B63*100)</f>
        <v>55.556636092385901</v>
      </c>
      <c r="K63">
        <f>(B63/F63*100)</f>
        <v>0.13722964962851603</v>
      </c>
      <c r="L63" s="23" t="str" cm="1">
        <f t="array" ref="L63">_xlfn.IFS(I63&gt;5,"HIGH RISK",AND(I63&gt;=2,I63&lt;=5),"MODERATE RISK",I63&lt;2,"LOW RISK")</f>
        <v>LOW RISK</v>
      </c>
      <c r="M63" cm="1">
        <f t="array" ref="M63">_xlfn.IFS(L63="LOW RISK",1,L63="MODERATE RISK",2,L63="HIGH RISK",3)</f>
        <v>1</v>
      </c>
    </row>
    <row r="64" spans="1:13" ht="18" customHeight="1" x14ac:dyDescent="0.35">
      <c r="A64" s="7" t="s">
        <v>141</v>
      </c>
      <c r="B64" s="14">
        <v>45902</v>
      </c>
      <c r="C64" s="14">
        <v>2206</v>
      </c>
      <c r="D64" s="14">
        <v>25794</v>
      </c>
      <c r="E64" s="14">
        <v>17902</v>
      </c>
      <c r="F64" s="14">
        <v>19224023</v>
      </c>
      <c r="G64" s="7" t="s">
        <v>196</v>
      </c>
      <c r="H64" s="15">
        <v>43887</v>
      </c>
      <c r="I64">
        <f>(C64/B64*100)</f>
        <v>4.8058908108579148</v>
      </c>
      <c r="J64">
        <f>(D64/B64*100)</f>
        <v>56.193629907193589</v>
      </c>
      <c r="K64">
        <f>(B64/F64*100)</f>
        <v>0.23877416293145304</v>
      </c>
      <c r="L64" s="23" t="str" cm="1">
        <f t="array" ref="L64">_xlfn.IFS(I64&gt;5,"HIGH RISK",AND(I64&gt;=2,I64&lt;=5),"MODERATE RISK",I64&lt;2,"LOW RISK")</f>
        <v>MODERATE RISK</v>
      </c>
      <c r="M64" cm="1">
        <f t="array" ref="M64">_xlfn.IFS(L64="LOW RISK",1,L64="MODERATE RISK",2,L64="HIGH RISK",3)</f>
        <v>2</v>
      </c>
    </row>
    <row r="65" spans="1:13" ht="18" customHeight="1" x14ac:dyDescent="0.35">
      <c r="A65" s="7" t="s">
        <v>6</v>
      </c>
      <c r="B65" s="14">
        <v>4880</v>
      </c>
      <c r="C65" s="14">
        <v>144</v>
      </c>
      <c r="D65" s="14">
        <v>2745</v>
      </c>
      <c r="E65" s="14">
        <v>1991</v>
      </c>
      <c r="F65" s="14">
        <v>2877470</v>
      </c>
      <c r="G65" s="7" t="s">
        <v>196</v>
      </c>
      <c r="H65" s="15">
        <v>43899</v>
      </c>
      <c r="I65">
        <f>(C65/B65*100)</f>
        <v>2.9508196721311477</v>
      </c>
      <c r="J65">
        <f>(D65/B65*100)</f>
        <v>56.25</v>
      </c>
      <c r="K65">
        <f>(B65/F65*100)</f>
        <v>0.16959342755962703</v>
      </c>
      <c r="L65" s="23" t="str" cm="1">
        <f t="array" ref="L65">_xlfn.IFS(I65&gt;5,"HIGH RISK",AND(I65&gt;=2,I65&lt;=5),"MODERATE RISK",I65&lt;2,"LOW RISK")</f>
        <v>MODERATE RISK</v>
      </c>
      <c r="M65" cm="1">
        <f t="array" ref="M65">_xlfn.IFS(L65="LOW RISK",1,L65="MODERATE RISK",2,L65="HIGH RISK",3)</f>
        <v>2</v>
      </c>
    </row>
    <row r="66" spans="1:13" ht="18" customHeight="1" x14ac:dyDescent="0.35">
      <c r="A66" s="7" t="s">
        <v>133</v>
      </c>
      <c r="B66" s="14">
        <v>61442</v>
      </c>
      <c r="C66" s="14">
        <v>1322</v>
      </c>
      <c r="D66" s="14">
        <v>35086</v>
      </c>
      <c r="E66" s="14">
        <v>25034</v>
      </c>
      <c r="F66" s="14">
        <v>5112340</v>
      </c>
      <c r="G66" s="7" t="s">
        <v>195</v>
      </c>
      <c r="H66" s="15">
        <v>43899</v>
      </c>
      <c r="I66">
        <f>(C66/B66*100)</f>
        <v>2.1516226685329256</v>
      </c>
      <c r="J66">
        <f>(D66/B66*100)</f>
        <v>57.104260929006209</v>
      </c>
      <c r="K66">
        <f>(B66/F66*100)</f>
        <v>1.2018371235089997</v>
      </c>
      <c r="L66" s="23" t="str" cm="1">
        <f t="array" ref="L66">_xlfn.IFS(I66&gt;5,"HIGH RISK",AND(I66&gt;=2,I66&lt;=5),"MODERATE RISK",I66&lt;2,"LOW RISK")</f>
        <v>MODERATE RISK</v>
      </c>
      <c r="M66" cm="1">
        <f t="array" ref="M66">_xlfn.IFS(L66="LOW RISK",1,L66="MODERATE RISK",2,L66="HIGH RISK",3)</f>
        <v>2</v>
      </c>
    </row>
    <row r="67" spans="1:13" ht="18" customHeight="1" x14ac:dyDescent="0.35">
      <c r="A67" s="6" t="s">
        <v>84</v>
      </c>
      <c r="B67" s="12">
        <v>100303</v>
      </c>
      <c r="C67" s="12">
        <v>4838</v>
      </c>
      <c r="D67" s="12">
        <v>58173</v>
      </c>
      <c r="E67" s="12">
        <v>37292</v>
      </c>
      <c r="F67" s="12">
        <v>273808365</v>
      </c>
      <c r="G67" s="6" t="s">
        <v>195</v>
      </c>
      <c r="H67" s="13">
        <v>43892</v>
      </c>
      <c r="I67">
        <f>(C67/B67*100)</f>
        <v>4.8233851430166599</v>
      </c>
      <c r="J67">
        <f>(D67/B67*100)</f>
        <v>57.997268277120327</v>
      </c>
      <c r="K67">
        <f>(B67/F67*100)</f>
        <v>3.6632555035343788E-2</v>
      </c>
      <c r="L67" s="23" t="str" cm="1">
        <f t="array" ref="L67">_xlfn.IFS(I67&gt;5,"HIGH RISK",AND(I67&gt;=2,I67&lt;=5),"MODERATE RISK",I67&lt;2,"LOW RISK")</f>
        <v>MODERATE RISK</v>
      </c>
      <c r="M67" cm="1">
        <f t="array" ref="M67">_xlfn.IFS(L67="LOW RISK",1,L67="MODERATE RISK",2,L67="HIGH RISK",3)</f>
        <v>2</v>
      </c>
    </row>
    <row r="68" spans="1:13" ht="18" customHeight="1" x14ac:dyDescent="0.35">
      <c r="A68" s="6" t="s">
        <v>23</v>
      </c>
      <c r="B68" s="12">
        <v>1770</v>
      </c>
      <c r="C68" s="12">
        <v>35</v>
      </c>
      <c r="D68" s="12">
        <v>1036</v>
      </c>
      <c r="E68" s="12">
        <v>699</v>
      </c>
      <c r="F68" s="12">
        <v>12151976</v>
      </c>
      <c r="G68" s="6" t="s">
        <v>197</v>
      </c>
      <c r="H68" s="13">
        <v>43906</v>
      </c>
      <c r="I68">
        <f>(C68/B68*100)</f>
        <v>1.977401129943503</v>
      </c>
      <c r="J68">
        <f>(D68/B68*100)</f>
        <v>58.531073446327689</v>
      </c>
      <c r="K68">
        <f>(B68/F68*100)</f>
        <v>1.4565532387489902E-2</v>
      </c>
      <c r="L68" s="23" t="str" cm="1">
        <f t="array" ref="L68">_xlfn.IFS(I68&gt;5,"HIGH RISK",AND(I68&gt;=2,I68&lt;=5),"MODERATE RISK",I68&lt;2,"LOW RISK")</f>
        <v>LOW RISK</v>
      </c>
      <c r="M68" cm="1">
        <f t="array" ref="M68">_xlfn.IFS(L68="LOW RISK",1,L68="MODERATE RISK",2,L68="HIGH RISK",3)</f>
        <v>1</v>
      </c>
    </row>
    <row r="69" spans="1:13" ht="18" customHeight="1" x14ac:dyDescent="0.35">
      <c r="A69" s="6" t="s">
        <v>78</v>
      </c>
      <c r="B69" s="12">
        <v>7340</v>
      </c>
      <c r="C69" s="12">
        <v>158</v>
      </c>
      <c r="D69" s="12">
        <v>4365</v>
      </c>
      <c r="E69" s="12">
        <v>2817</v>
      </c>
      <c r="F69" s="12">
        <v>11416103</v>
      </c>
      <c r="G69" s="6" t="s">
        <v>198</v>
      </c>
      <c r="H69" s="13">
        <v>43909</v>
      </c>
      <c r="I69">
        <f>(C69/B69*100)</f>
        <v>2.1525885558583107</v>
      </c>
      <c r="J69">
        <f>(D69/B69*100)</f>
        <v>59.468664850136243</v>
      </c>
      <c r="K69">
        <f>(B69/F69*100)</f>
        <v>6.4295145199723583E-2</v>
      </c>
      <c r="L69" s="23" t="str" cm="1">
        <f t="array" ref="L69">_xlfn.IFS(I69&gt;5,"HIGH RISK",AND(I69&gt;=2,I69&lt;=5),"MODERATE RISK",I69&lt;2,"LOW RISK")</f>
        <v>MODERATE RISK</v>
      </c>
      <c r="M69" cm="1">
        <f t="array" ref="M69">_xlfn.IFS(L69="LOW RISK",1,L69="MODERATE RISK",2,L69="HIGH RISK",3)</f>
        <v>2</v>
      </c>
    </row>
    <row r="70" spans="1:13" ht="18" customHeight="1" x14ac:dyDescent="0.35">
      <c r="A70" s="6" t="s">
        <v>158</v>
      </c>
      <c r="B70" s="12">
        <v>452529</v>
      </c>
      <c r="C70" s="12">
        <v>7067</v>
      </c>
      <c r="D70" s="12">
        <v>274925</v>
      </c>
      <c r="E70" s="12">
        <v>170537</v>
      </c>
      <c r="F70" s="12">
        <v>59381566</v>
      </c>
      <c r="G70" s="6" t="s">
        <v>197</v>
      </c>
      <c r="H70" s="13">
        <v>43895</v>
      </c>
      <c r="I70">
        <f>(C70/B70*100)</f>
        <v>1.5616678710093719</v>
      </c>
      <c r="J70">
        <f>(D70/B70*100)</f>
        <v>60.753012514115113</v>
      </c>
      <c r="K70">
        <f>(B70/F70*100)</f>
        <v>0.76206983157028907</v>
      </c>
      <c r="L70" s="23" t="str" cm="1">
        <f t="array" ref="L70">_xlfn.IFS(I70&gt;5,"HIGH RISK",AND(I70&gt;=2,I70&lt;=5),"MODERATE RISK",I70&lt;2,"LOW RISK")</f>
        <v>LOW RISK</v>
      </c>
      <c r="M70" cm="1">
        <f t="array" ref="M70">_xlfn.IFS(L70="LOW RISK",1,L70="MODERATE RISK",2,L70="HIGH RISK",3)</f>
        <v>1</v>
      </c>
    </row>
    <row r="71" spans="1:13" ht="18" customHeight="1" x14ac:dyDescent="0.35">
      <c r="A71" s="6" t="s">
        <v>13</v>
      </c>
      <c r="B71" s="12">
        <v>15303</v>
      </c>
      <c r="C71" s="12">
        <v>167</v>
      </c>
      <c r="D71" s="12">
        <v>9311</v>
      </c>
      <c r="E71" s="12">
        <v>5825</v>
      </c>
      <c r="F71" s="12">
        <v>25528864</v>
      </c>
      <c r="G71" s="6" t="s">
        <v>200</v>
      </c>
      <c r="H71" s="13">
        <v>43855</v>
      </c>
      <c r="I71">
        <f>(C71/B71*100)</f>
        <v>1.0912892896817616</v>
      </c>
      <c r="J71">
        <f>(D71/B71*100)</f>
        <v>60.844278899562177</v>
      </c>
      <c r="K71">
        <f>(B71/F71*100)</f>
        <v>5.9943912897965218E-2</v>
      </c>
      <c r="L71" s="23" t="str" cm="1">
        <f t="array" ref="L71">_xlfn.IFS(I71&gt;5,"HIGH RISK",AND(I71&gt;=2,I71&lt;=5),"MODERATE RISK",I71&lt;2,"LOW RISK")</f>
        <v>LOW RISK</v>
      </c>
      <c r="M71" cm="1">
        <f t="array" ref="M71">_xlfn.IFS(L71="LOW RISK",1,L71="MODERATE RISK",2,L71="HIGH RISK",3)</f>
        <v>1</v>
      </c>
    </row>
    <row r="72" spans="1:13" ht="18" customHeight="1" x14ac:dyDescent="0.35">
      <c r="A72" s="7" t="s">
        <v>188</v>
      </c>
      <c r="B72" s="14">
        <v>4552</v>
      </c>
      <c r="C72" s="14">
        <v>140</v>
      </c>
      <c r="D72" s="14">
        <v>2815</v>
      </c>
      <c r="E72" s="14">
        <v>1597</v>
      </c>
      <c r="F72" s="14">
        <v>18430129</v>
      </c>
      <c r="G72" s="7" t="s">
        <v>197</v>
      </c>
      <c r="H72" s="15">
        <v>43908</v>
      </c>
      <c r="I72">
        <f>(C72/B72*100)</f>
        <v>3.0755711775043935</v>
      </c>
      <c r="J72">
        <f>(D72/B72*100)</f>
        <v>61.840949033391915</v>
      </c>
      <c r="K72">
        <f>(B72/F72*100)</f>
        <v>2.4698687676033088E-2</v>
      </c>
      <c r="L72" s="23" t="str" cm="1">
        <f t="array" ref="L72">_xlfn.IFS(I72&gt;5,"HIGH RISK",AND(I72&gt;=2,I72&lt;=5),"MODERATE RISK",I72&lt;2,"LOW RISK")</f>
        <v>MODERATE RISK</v>
      </c>
      <c r="M72" cm="1">
        <f t="array" ref="M72">_xlfn.IFS(L72="LOW RISK",1,L72="MODERATE RISK",2,L72="HIGH RISK",3)</f>
        <v>2</v>
      </c>
    </row>
    <row r="73" spans="1:13" ht="18" customHeight="1" x14ac:dyDescent="0.35">
      <c r="A73" s="6" t="s">
        <v>183</v>
      </c>
      <c r="B73" s="12">
        <v>15988</v>
      </c>
      <c r="C73" s="12">
        <v>146</v>
      </c>
      <c r="D73" s="12">
        <v>9959</v>
      </c>
      <c r="E73" s="12">
        <v>5883</v>
      </c>
      <c r="F73" s="12">
        <v>28427499</v>
      </c>
      <c r="G73" s="6" t="s">
        <v>199</v>
      </c>
      <c r="H73" s="13">
        <v>43903</v>
      </c>
      <c r="I73">
        <f>(C73/B73*100)</f>
        <v>0.91318488866649983</v>
      </c>
      <c r="J73">
        <f>(D73/B73*100)</f>
        <v>62.290467850888163</v>
      </c>
      <c r="K73">
        <f>(B73/F73*100)</f>
        <v>5.6241317605885771E-2</v>
      </c>
      <c r="L73" s="23" t="str" cm="1">
        <f t="array" ref="L73">_xlfn.IFS(I73&gt;5,"HIGH RISK",AND(I73&gt;=2,I73&lt;=5),"MODERATE RISK",I73&lt;2,"LOW RISK")</f>
        <v>LOW RISK</v>
      </c>
      <c r="M73" cm="1">
        <f t="array" ref="M73">_xlfn.IFS(L73="LOW RISK",1,L73="MODERATE RISK",2,L73="HIGH RISK",3)</f>
        <v>1</v>
      </c>
    </row>
    <row r="74" spans="1:13" ht="18" customHeight="1" x14ac:dyDescent="0.35">
      <c r="A74" s="6" t="s">
        <v>164</v>
      </c>
      <c r="B74" s="12">
        <v>1483</v>
      </c>
      <c r="C74" s="12">
        <v>24</v>
      </c>
      <c r="D74" s="12">
        <v>925</v>
      </c>
      <c r="E74" s="12">
        <v>534</v>
      </c>
      <c r="F74" s="12">
        <v>587154</v>
      </c>
      <c r="G74" s="6" t="s">
        <v>199</v>
      </c>
      <c r="H74" s="13">
        <v>43903</v>
      </c>
      <c r="I74">
        <f>(C74/B74*100)</f>
        <v>1.6183412002697235</v>
      </c>
      <c r="J74">
        <f>(D74/B74*100)</f>
        <v>62.37356709372893</v>
      </c>
      <c r="K74">
        <f>(B74/F74*100)</f>
        <v>0.25257428204525556</v>
      </c>
      <c r="L74" s="23" t="str" cm="1">
        <f t="array" ref="L74">_xlfn.IFS(I74&gt;5,"HIGH RISK",AND(I74&gt;=2,I74&lt;=5),"MODERATE RISK",I74&lt;2,"LOW RISK")</f>
        <v>LOW RISK</v>
      </c>
      <c r="M74" cm="1">
        <f t="array" ref="M74">_xlfn.IFS(L74="LOW RISK",1,L74="MODERATE RISK",2,L74="HIGH RISK",3)</f>
        <v>1</v>
      </c>
    </row>
    <row r="75" spans="1:13" ht="18" customHeight="1" x14ac:dyDescent="0.35">
      <c r="A75" s="7" t="s">
        <v>97</v>
      </c>
      <c r="B75" s="14">
        <v>33296</v>
      </c>
      <c r="C75" s="14">
        <v>1301</v>
      </c>
      <c r="D75" s="14">
        <v>21205</v>
      </c>
      <c r="E75" s="14">
        <v>10790</v>
      </c>
      <c r="F75" s="14">
        <v>6534479</v>
      </c>
      <c r="G75" s="7" t="s">
        <v>195</v>
      </c>
      <c r="H75" s="15">
        <v>43908</v>
      </c>
      <c r="I75">
        <f>(C75/B75*100)</f>
        <v>3.9073762614127823</v>
      </c>
      <c r="J75">
        <f>(D75/B75*100)</f>
        <v>63.686328688130715</v>
      </c>
      <c r="K75">
        <f>(B75/F75*100)</f>
        <v>0.50954330100379841</v>
      </c>
      <c r="L75" s="23" t="str" cm="1">
        <f t="array" ref="L75">_xlfn.IFS(I75&gt;5,"HIGH RISK",AND(I75&gt;=2,I75&lt;=5),"MODERATE RISK",I75&lt;2,"LOW RISK")</f>
        <v>MODERATE RISK</v>
      </c>
      <c r="M75" cm="1">
        <f t="array" ref="M75">_xlfn.IFS(L75="LOW RISK",1,L75="MODERATE RISK",2,L75="HIGH RISK",3)</f>
        <v>2</v>
      </c>
    </row>
    <row r="76" spans="1:13" ht="18" customHeight="1" x14ac:dyDescent="0.35">
      <c r="A76" s="7" t="s">
        <v>135</v>
      </c>
      <c r="B76" s="14">
        <v>4548</v>
      </c>
      <c r="C76" s="14">
        <v>43</v>
      </c>
      <c r="D76" s="14">
        <v>2905</v>
      </c>
      <c r="E76" s="14">
        <v>1600</v>
      </c>
      <c r="F76" s="14">
        <v>7141091</v>
      </c>
      <c r="G76" s="7" t="s">
        <v>199</v>
      </c>
      <c r="H76" s="15">
        <v>43897</v>
      </c>
      <c r="I76">
        <f>(C76/B76*100)</f>
        <v>0.94547053649956025</v>
      </c>
      <c r="J76">
        <f>(D76/B76*100)</f>
        <v>63.874230430958669</v>
      </c>
      <c r="K76">
        <f>(B76/F76*100)</f>
        <v>6.3687747432430136E-2</v>
      </c>
      <c r="L76" s="23" t="str" cm="1">
        <f t="array" ref="L76">_xlfn.IFS(I76&gt;5,"HIGH RISK",AND(I76&gt;=2,I76&lt;=5),"MODERATE RISK",I76&lt;2,"LOW RISK")</f>
        <v>LOW RISK</v>
      </c>
      <c r="M76" cm="1">
        <f t="array" ref="M76">_xlfn.IFS(L76="LOW RISK",1,L76="MODERATE RISK",2,L76="HIGH RISK",3)</f>
        <v>1</v>
      </c>
    </row>
    <row r="77" spans="1:13" ht="18" customHeight="1" x14ac:dyDescent="0.35">
      <c r="A77" s="7" t="s">
        <v>83</v>
      </c>
      <c r="B77" s="14">
        <v>1480073</v>
      </c>
      <c r="C77" s="14">
        <v>33408</v>
      </c>
      <c r="D77" s="14">
        <v>951166</v>
      </c>
      <c r="E77" s="14">
        <v>495499</v>
      </c>
      <c r="F77" s="14">
        <v>1381344997</v>
      </c>
      <c r="G77" s="7" t="s">
        <v>195</v>
      </c>
      <c r="H77" s="15">
        <v>43860</v>
      </c>
      <c r="I77">
        <f>(C77/B77*100)</f>
        <v>2.2571859631247917</v>
      </c>
      <c r="J77">
        <f>(D77/B77*100)</f>
        <v>64.264803154979518</v>
      </c>
      <c r="K77">
        <f>(B77/F77*100)</f>
        <v>0.10714723716482247</v>
      </c>
      <c r="L77" s="23" t="str" cm="1">
        <f t="array" ref="L77">_xlfn.IFS(I77&gt;5,"HIGH RISK",AND(I77&gt;=2,I77&lt;=5),"MODERATE RISK",I77&lt;2,"LOW RISK")</f>
        <v>MODERATE RISK</v>
      </c>
      <c r="M77" cm="1">
        <f t="array" ref="M77">_xlfn.IFS(L77="LOW RISK",1,L77="MODERATE RISK",2,L77="HIGH RISK",3)</f>
        <v>2</v>
      </c>
    </row>
    <row r="78" spans="1:13" ht="18" customHeight="1" x14ac:dyDescent="0.35">
      <c r="A78" s="7" t="s">
        <v>93</v>
      </c>
      <c r="B78" s="14">
        <v>84648</v>
      </c>
      <c r="C78" s="14">
        <v>585</v>
      </c>
      <c r="D78" s="14">
        <v>54404</v>
      </c>
      <c r="E78" s="14">
        <v>29659</v>
      </c>
      <c r="F78" s="14">
        <v>18798667</v>
      </c>
      <c r="G78" s="7" t="s">
        <v>195</v>
      </c>
      <c r="H78" s="15">
        <v>43903</v>
      </c>
      <c r="I78">
        <f>(C78/B78*100)</f>
        <v>0.69109724978735465</v>
      </c>
      <c r="J78">
        <f>(D78/B78*100)</f>
        <v>64.270862867403835</v>
      </c>
      <c r="K78">
        <f>(B78/F78*100)</f>
        <v>0.45028724643082407</v>
      </c>
      <c r="L78" s="23" t="str" cm="1">
        <f t="array" ref="L78">_xlfn.IFS(I78&gt;5,"HIGH RISK",AND(I78&gt;=2,I78&lt;=5),"MODERATE RISK",I78&lt;2,"LOW RISK")</f>
        <v>LOW RISK</v>
      </c>
      <c r="M78" cm="1">
        <f t="array" ref="M78">_xlfn.IFS(L78="LOW RISK",1,L78="MODERATE RISK",2,L78="HIGH RISK",3)</f>
        <v>1</v>
      </c>
    </row>
    <row r="79" spans="1:13" ht="18" customHeight="1" x14ac:dyDescent="0.35">
      <c r="A79" s="6" t="s">
        <v>44</v>
      </c>
      <c r="B79" s="12">
        <v>8844</v>
      </c>
      <c r="C79" s="12">
        <v>208</v>
      </c>
      <c r="D79" s="12">
        <v>5700</v>
      </c>
      <c r="E79" s="12">
        <v>2936</v>
      </c>
      <c r="F79" s="16">
        <v>96076573</v>
      </c>
      <c r="G79" s="6" t="s">
        <v>197</v>
      </c>
      <c r="H79" s="13">
        <v>43900</v>
      </c>
      <c r="I79">
        <f>(C79/B79*100)</f>
        <v>2.3518769787426503</v>
      </c>
      <c r="J79">
        <f>(D79/B79*100)</f>
        <v>64.450474898236081</v>
      </c>
      <c r="K79">
        <f>(B79/F79*100)</f>
        <v>9.2051576402501362E-3</v>
      </c>
      <c r="L79" s="23" t="str" cm="1">
        <f t="array" ref="L79">_xlfn.IFS(I79&gt;5,"HIGH RISK",AND(I79&gt;=2,I79&lt;=5),"MODERATE RISK",I79&lt;2,"LOW RISK")</f>
        <v>MODERATE RISK</v>
      </c>
      <c r="M79" cm="1">
        <f t="array" ref="M79">_xlfn.IFS(L79="LOW RISK",1,L79="MODERATE RISK",2,L79="HIGH RISK",3)</f>
        <v>2</v>
      </c>
    </row>
    <row r="80" spans="1:13" ht="18" customHeight="1" x14ac:dyDescent="0.35">
      <c r="A80" s="7" t="s">
        <v>107</v>
      </c>
      <c r="B80" s="14">
        <v>9690</v>
      </c>
      <c r="C80" s="14">
        <v>91</v>
      </c>
      <c r="D80" s="14">
        <v>6260</v>
      </c>
      <c r="E80" s="14">
        <v>3339</v>
      </c>
      <c r="F80" s="14">
        <v>27755708</v>
      </c>
      <c r="G80" s="7" t="s">
        <v>197</v>
      </c>
      <c r="H80" s="15">
        <v>43910</v>
      </c>
      <c r="I80">
        <f>(C80/B80*100)</f>
        <v>0.9391124871001032</v>
      </c>
      <c r="J80">
        <f>(D80/B80*100)</f>
        <v>64.602683178534576</v>
      </c>
      <c r="K80">
        <f>(B80/F80*100)</f>
        <v>3.4911737794618682E-2</v>
      </c>
      <c r="L80" s="23" t="str" cm="1">
        <f t="array" ref="L80">_xlfn.IFS(I80&gt;5,"HIGH RISK",AND(I80&gt;=2,I80&lt;=5),"MODERATE RISK",I80&lt;2,"LOW RISK")</f>
        <v>LOW RISK</v>
      </c>
      <c r="M80" cm="1">
        <f t="array" ref="M80">_xlfn.IFS(L80="LOW RISK",1,L80="MODERATE RISK",2,L80="HIGH RISK",3)</f>
        <v>1</v>
      </c>
    </row>
    <row r="81" spans="1:14" ht="18" customHeight="1" x14ac:dyDescent="0.35">
      <c r="A81" s="6" t="s">
        <v>34</v>
      </c>
      <c r="B81" s="12">
        <v>226</v>
      </c>
      <c r="C81" s="12">
        <v>0</v>
      </c>
      <c r="D81" s="12">
        <v>147</v>
      </c>
      <c r="E81" s="12">
        <v>79</v>
      </c>
      <c r="F81" s="12">
        <v>16741375</v>
      </c>
      <c r="G81" s="6" t="s">
        <v>195</v>
      </c>
      <c r="H81" s="13">
        <v>43857</v>
      </c>
      <c r="I81">
        <f>(C81/B81*100)</f>
        <v>0</v>
      </c>
      <c r="J81">
        <f>(D81/B81*100)</f>
        <v>65.044247787610615</v>
      </c>
      <c r="K81">
        <f>(B81/F81*100)</f>
        <v>1.349948854260776E-3</v>
      </c>
      <c r="L81" s="23" t="str" cm="1">
        <f t="array" ref="L81">_xlfn.IFS(I81&gt;5,"HIGH RISK",AND(I81&gt;=2,I81&lt;=5),"MODERATE RISK",I81&lt;2,"LOW RISK")</f>
        <v>LOW RISK</v>
      </c>
      <c r="M81" cm="1">
        <f t="array" ref="M81">_xlfn.IFS(L81="LOW RISK",1,L81="MODERATE RISK",2,L81="HIGH RISK",3)</f>
        <v>1</v>
      </c>
    </row>
    <row r="82" spans="1:14" ht="18" customHeight="1" x14ac:dyDescent="0.35">
      <c r="A82" s="6" t="s">
        <v>66</v>
      </c>
      <c r="B82" s="12">
        <v>7189</v>
      </c>
      <c r="C82" s="12">
        <v>49</v>
      </c>
      <c r="D82" s="12">
        <v>4682</v>
      </c>
      <c r="E82" s="12">
        <v>2458</v>
      </c>
      <c r="F82" s="12">
        <v>2230563</v>
      </c>
      <c r="G82" s="6" t="s">
        <v>197</v>
      </c>
      <c r="H82" s="13">
        <v>43902</v>
      </c>
      <c r="I82">
        <f>(C82/B82*100)</f>
        <v>0.6815968841285297</v>
      </c>
      <c r="J82">
        <f>(D82/B82*100)</f>
        <v>65.127277785505626</v>
      </c>
      <c r="K82">
        <f>(B82/F82*100)</f>
        <v>0.32229531288737417</v>
      </c>
      <c r="L82" s="23" t="str" cm="1">
        <f t="array" ref="L82">_xlfn.IFS(I82&gt;5,"HIGH RISK",AND(I82&gt;=2,I82&lt;=5),"MODERATE RISK",I82&lt;2,"LOW RISK")</f>
        <v>LOW RISK</v>
      </c>
      <c r="M82" cm="1">
        <f t="array" ref="M82">_xlfn.IFS(L82="LOW RISK",1,L82="MODERATE RISK",2,L82="HIGH RISK",3)</f>
        <v>1</v>
      </c>
    </row>
    <row r="83" spans="1:14" ht="18" customHeight="1" x14ac:dyDescent="0.35">
      <c r="A83" s="6" t="s">
        <v>46</v>
      </c>
      <c r="B83" s="12">
        <v>15655</v>
      </c>
      <c r="C83" s="12">
        <v>96</v>
      </c>
      <c r="D83" s="12">
        <v>10361</v>
      </c>
      <c r="E83" s="12">
        <v>5198</v>
      </c>
      <c r="F83" s="16">
        <v>26172000</v>
      </c>
      <c r="G83" s="6" t="s">
        <v>197</v>
      </c>
      <c r="H83" s="13">
        <v>43901</v>
      </c>
      <c r="I83">
        <f>(C83/B83*100)</f>
        <v>0.61322261258383903</v>
      </c>
      <c r="J83">
        <f>(D83/B83*100)</f>
        <v>66.183328010220379</v>
      </c>
      <c r="K83">
        <f>(B83/F83*100)</f>
        <v>5.9815833715421061E-2</v>
      </c>
      <c r="L83" s="23" t="str" cm="1">
        <f t="array" ref="L83">_xlfn.IFS(I83&gt;5,"HIGH RISK",AND(I83&gt;=2,I83&lt;=5),"MODERATE RISK",I83&lt;2,"LOW RISK")</f>
        <v>LOW RISK</v>
      </c>
      <c r="M83" cm="1">
        <f t="array" ref="M83">_xlfn.IFS(L83="LOW RISK",1,L83="MODERATE RISK",2,L83="HIGH RISK",3)</f>
        <v>1</v>
      </c>
    </row>
    <row r="84" spans="1:14" ht="18" customHeight="1" x14ac:dyDescent="0.35">
      <c r="A84" s="6" t="s">
        <v>150</v>
      </c>
      <c r="B84" s="12">
        <v>9764</v>
      </c>
      <c r="C84" s="12">
        <v>194</v>
      </c>
      <c r="D84" s="12">
        <v>6477</v>
      </c>
      <c r="E84" s="12">
        <v>3093</v>
      </c>
      <c r="F84" s="12">
        <v>16783877</v>
      </c>
      <c r="G84" s="6" t="s">
        <v>197</v>
      </c>
      <c r="H84" s="13">
        <v>43892</v>
      </c>
      <c r="I84">
        <f>(C84/B84*100)</f>
        <v>1.9868906185989348</v>
      </c>
      <c r="J84">
        <f>(D84/B84*100)</f>
        <v>66.335518230233518</v>
      </c>
      <c r="K84">
        <f>(B84/F84*100)</f>
        <v>5.8174878188156406E-2</v>
      </c>
      <c r="L84" s="23" t="str" cm="1">
        <f t="array" ref="L84">_xlfn.IFS(I84&gt;5,"HIGH RISK",AND(I84&gt;=2,I84&lt;=5),"MODERATE RISK",I84&lt;2,"LOW RISK")</f>
        <v>LOW RISK</v>
      </c>
      <c r="M84" cm="1">
        <f t="array" ref="M84">_xlfn.IFS(L84="LOW RISK",1,L84="MODERATE RISK",2,L84="HIGH RISK",3)</f>
        <v>1</v>
      </c>
    </row>
    <row r="85" spans="1:14" ht="18" customHeight="1" x14ac:dyDescent="0.35">
      <c r="A85" s="7" t="s">
        <v>33</v>
      </c>
      <c r="B85" s="14">
        <v>2328</v>
      </c>
      <c r="C85" s="14">
        <v>22</v>
      </c>
      <c r="D85" s="14">
        <v>1550</v>
      </c>
      <c r="E85" s="14">
        <v>756</v>
      </c>
      <c r="F85" s="14">
        <v>556581</v>
      </c>
      <c r="G85" s="7" t="s">
        <v>197</v>
      </c>
      <c r="H85" s="15">
        <v>43910</v>
      </c>
      <c r="I85">
        <f>(C85/B85*100)</f>
        <v>0.94501718213058417</v>
      </c>
      <c r="J85">
        <f>(D85/B85*100)</f>
        <v>66.580756013745699</v>
      </c>
      <c r="K85">
        <f>(B85/F85*100)</f>
        <v>0.41826796099759067</v>
      </c>
      <c r="L85" s="23" t="str" cm="1">
        <f t="array" ref="L85">_xlfn.IFS(I85&gt;5,"HIGH RISK",AND(I85&gt;=2,I85&lt;=5),"MODERATE RISK",I85&lt;2,"LOW RISK")</f>
        <v>LOW RISK</v>
      </c>
      <c r="M85" cm="1">
        <f t="array" ref="M85">_xlfn.IFS(L85="LOW RISK",1,L85="MODERATE RISK",2,L85="HIGH RISK",3)</f>
        <v>1</v>
      </c>
    </row>
    <row r="86" spans="1:14" ht="18" customHeight="1" x14ac:dyDescent="0.35">
      <c r="A86" s="7" t="s">
        <v>63</v>
      </c>
      <c r="B86" s="14">
        <v>27</v>
      </c>
      <c r="C86" s="14">
        <v>0</v>
      </c>
      <c r="D86" s="14">
        <v>18</v>
      </c>
      <c r="E86" s="14">
        <v>9</v>
      </c>
      <c r="F86" s="14">
        <v>897095</v>
      </c>
      <c r="G86" s="7" t="s">
        <v>200</v>
      </c>
      <c r="H86" s="15">
        <v>43909</v>
      </c>
      <c r="I86">
        <f>(C86/B86*100)</f>
        <v>0</v>
      </c>
      <c r="J86">
        <f>(D86/B86*100)</f>
        <v>66.666666666666657</v>
      </c>
      <c r="K86">
        <f>(B86/F86*100)</f>
        <v>3.0097146901944608E-3</v>
      </c>
      <c r="L86" s="23" t="str" cm="1">
        <f t="array" ref="L86">_xlfn.IFS(I86&gt;5,"HIGH RISK",AND(I86&gt;=2,I86&lt;=5),"MODERATE RISK",I86&lt;2,"LOW RISK")</f>
        <v>LOW RISK</v>
      </c>
      <c r="M86" cm="1">
        <f t="array" ref="M86">_xlfn.IFS(L86="LOW RISK",1,L86="MODERATE RISK",2,L86="HIGH RISK",3)</f>
        <v>1</v>
      </c>
    </row>
    <row r="87" spans="1:14" ht="18" customHeight="1" x14ac:dyDescent="0.35">
      <c r="A87" s="6" t="s">
        <v>7</v>
      </c>
      <c r="B87" s="12">
        <v>27973</v>
      </c>
      <c r="C87" s="12">
        <v>1163</v>
      </c>
      <c r="D87" s="12">
        <v>18837</v>
      </c>
      <c r="E87" s="12">
        <v>7973</v>
      </c>
      <c r="F87" s="12">
        <v>43926079</v>
      </c>
      <c r="G87" s="6" t="s">
        <v>197</v>
      </c>
      <c r="H87" s="13">
        <v>43886</v>
      </c>
      <c r="I87">
        <f>(C87/B87*100)</f>
        <v>4.1575805240767885</v>
      </c>
      <c r="J87">
        <f>(D87/B87*100)</f>
        <v>67.339934937260921</v>
      </c>
      <c r="K87">
        <f>(B87/F87*100)</f>
        <v>6.3681987185790018E-2</v>
      </c>
      <c r="L87" s="23" t="str" cm="1">
        <f t="array" ref="L87">_xlfn.IFS(I87&gt;5,"HIGH RISK",AND(I87&gt;=2,I87&lt;=5),"MODERATE RISK",I87&lt;2,"LOW RISK")</f>
        <v>MODERATE RISK</v>
      </c>
      <c r="M87" cm="1">
        <f t="array" ref="M87">_xlfn.IFS(L87="LOW RISK",1,L87="MODERATE RISK",2,L87="HIGH RISK",3)</f>
        <v>2</v>
      </c>
    </row>
    <row r="88" spans="1:14" ht="18" customHeight="1" x14ac:dyDescent="0.35">
      <c r="A88" s="6" t="s">
        <v>86</v>
      </c>
      <c r="B88" s="12">
        <v>112585</v>
      </c>
      <c r="C88" s="12">
        <v>4458</v>
      </c>
      <c r="D88" s="12">
        <v>77144</v>
      </c>
      <c r="E88" s="12">
        <v>30983</v>
      </c>
      <c r="F88" s="12">
        <v>40306025</v>
      </c>
      <c r="G88" s="6" t="s">
        <v>195</v>
      </c>
      <c r="H88" s="13">
        <v>43883</v>
      </c>
      <c r="I88">
        <f>(C88/B88*100)</f>
        <v>3.9596749122884933</v>
      </c>
      <c r="J88">
        <f>(D88/B88*100)</f>
        <v>68.520673269085577</v>
      </c>
      <c r="K88">
        <f>(B88/F88*100)</f>
        <v>0.27932548545781927</v>
      </c>
      <c r="L88" s="23" t="str" cm="1">
        <f t="array" ref="L88">_xlfn.IFS(I88&gt;5,"HIGH RISK",AND(I88&gt;=2,I88&lt;=5),"MODERATE RISK",I88&lt;2,"LOW RISK")</f>
        <v>MODERATE RISK</v>
      </c>
      <c r="M88" cm="1">
        <f t="array" ref="M88">_xlfn.IFS(L88="LOW RISK",1,L88="MODERATE RISK",2,L88="HIGH RISK",3)</f>
        <v>2</v>
      </c>
    </row>
    <row r="89" spans="1:14" ht="18" customHeight="1" x14ac:dyDescent="0.35">
      <c r="A89" s="7" t="s">
        <v>172</v>
      </c>
      <c r="B89" s="14">
        <v>874</v>
      </c>
      <c r="C89" s="14">
        <v>18</v>
      </c>
      <c r="D89" s="14">
        <v>607</v>
      </c>
      <c r="E89" s="14">
        <v>249</v>
      </c>
      <c r="F89" s="14">
        <v>8296582</v>
      </c>
      <c r="G89" s="7" t="s">
        <v>197</v>
      </c>
      <c r="H89" s="15">
        <v>43896</v>
      </c>
      <c r="I89">
        <f>(C89/B89*100)</f>
        <v>2.0594965675057209</v>
      </c>
      <c r="J89">
        <f>(D89/B89*100)</f>
        <v>69.450800915331811</v>
      </c>
      <c r="K89">
        <f>(B89/F89*100)</f>
        <v>1.0534458648151732E-2</v>
      </c>
      <c r="L89" s="23" t="str" cm="1">
        <f t="array" ref="L89">_xlfn.IFS(I89&gt;5,"HIGH RISK",AND(I89&gt;=2,I89&lt;=5),"MODERATE RISK",I89&lt;2,"LOW RISK")</f>
        <v>MODERATE RISK</v>
      </c>
      <c r="M89" cm="1">
        <f t="array" ref="M89">_xlfn.IFS(L89="LOW RISK",1,L89="MODERATE RISK",2,L89="HIGH RISK",3)</f>
        <v>2</v>
      </c>
    </row>
    <row r="90" spans="1:14" ht="18" customHeight="1" x14ac:dyDescent="0.35">
      <c r="A90" s="6" t="s">
        <v>5</v>
      </c>
      <c r="B90" s="12">
        <v>36263</v>
      </c>
      <c r="C90" s="12" t="s">
        <v>201</v>
      </c>
      <c r="D90" s="12">
        <v>25198</v>
      </c>
      <c r="E90" s="12" t="s">
        <v>202</v>
      </c>
      <c r="F90" s="12" t="s">
        <v>203</v>
      </c>
      <c r="G90" s="6" t="s">
        <v>195</v>
      </c>
      <c r="H90" s="13">
        <v>43885</v>
      </c>
      <c r="I90">
        <f>(C90/B90*100)</f>
        <v>3.499434685492099</v>
      </c>
      <c r="J90">
        <f>(D90/B90*100)</f>
        <v>69.486804732096076</v>
      </c>
      <c r="K90">
        <f>(B90/F90*100)</f>
        <v>9.2959533622714516E-2</v>
      </c>
      <c r="L90" s="23" t="str" cm="1">
        <f t="array" ref="L90">_xlfn.IFS(I90&gt;5,"HIGH RISK",AND(I90&gt;=2,I90&lt;=5),"MODERATE RISK",I90&lt;2,"LOW RISK")</f>
        <v>MODERATE RISK</v>
      </c>
      <c r="M90" cm="1">
        <f t="array" ref="M90">_xlfn.IFS(L90="LOW RISK",1,L90="MODERATE RISK",2,L90="HIGH RISK",3)</f>
        <v>2</v>
      </c>
      <c r="N90" t="e">
        <f>VLOOKUP(N89,$A$1:$M$188,6,1)</f>
        <v>#N/A</v>
      </c>
    </row>
    <row r="91" spans="1:14" ht="18" customHeight="1" x14ac:dyDescent="0.35">
      <c r="A91" s="6" t="s">
        <v>116</v>
      </c>
      <c r="B91" s="12">
        <v>23154</v>
      </c>
      <c r="C91" s="12">
        <v>748</v>
      </c>
      <c r="D91" s="12">
        <v>16154</v>
      </c>
      <c r="E91" s="12">
        <v>6252</v>
      </c>
      <c r="F91" s="12">
        <v>4032983</v>
      </c>
      <c r="G91" s="6" t="s">
        <v>196</v>
      </c>
      <c r="H91" s="13">
        <v>43897</v>
      </c>
      <c r="I91">
        <f>(C91/B91*100)</f>
        <v>3.2305433186490458</v>
      </c>
      <c r="J91">
        <f>(D91/B91*100)</f>
        <v>69.767642739915345</v>
      </c>
      <c r="K91">
        <f>(B91/F91*100)</f>
        <v>0.57411598313208856</v>
      </c>
      <c r="L91" s="23" t="str" cm="1">
        <f t="array" ref="L91">_xlfn.IFS(I91&gt;5,"HIGH RISK",AND(I91&gt;=2,I91&lt;=5),"MODERATE RISK",I91&lt;2,"LOW RISK")</f>
        <v>MODERATE RISK</v>
      </c>
      <c r="M91" cm="1">
        <f t="array" ref="M91">_xlfn.IFS(L91="LOW RISK",1,L91="MODERATE RISK",2,L91="HIGH RISK",3)</f>
        <v>2</v>
      </c>
    </row>
    <row r="92" spans="1:14" ht="18" customHeight="1" x14ac:dyDescent="0.35">
      <c r="A92" s="6" t="s">
        <v>136</v>
      </c>
      <c r="B92" s="12">
        <v>389717</v>
      </c>
      <c r="C92" s="12">
        <v>18418</v>
      </c>
      <c r="D92" s="12">
        <v>272547</v>
      </c>
      <c r="E92" s="12">
        <v>98752</v>
      </c>
      <c r="F92" s="12">
        <v>33016319</v>
      </c>
      <c r="G92" s="6" t="s">
        <v>199</v>
      </c>
      <c r="H92" s="13">
        <v>43896</v>
      </c>
      <c r="I92">
        <f>(C92/B92*100)</f>
        <v>4.7259934773181564</v>
      </c>
      <c r="J92">
        <f>(D92/B92*100)</f>
        <v>69.934593564047759</v>
      </c>
      <c r="K92">
        <f>(B92/F92*100)</f>
        <v>1.180376891803111</v>
      </c>
      <c r="L92" s="23" t="str" cm="1">
        <f t="array" ref="L92">_xlfn.IFS(I92&gt;5,"HIGH RISK",AND(I92&gt;=2,I92&lt;=5),"MODERATE RISK",I92&lt;2,"LOW RISK")</f>
        <v>MODERATE RISK</v>
      </c>
      <c r="M92" cm="1">
        <f t="array" ref="M92">_xlfn.IFS(L92="LOW RISK",1,L92="MODERATE RISK",2,L92="HIGH RISK",3)</f>
        <v>2</v>
      </c>
    </row>
    <row r="93" spans="1:14" ht="18" customHeight="1" x14ac:dyDescent="0.35">
      <c r="A93" s="7" t="s">
        <v>139</v>
      </c>
      <c r="B93" s="14">
        <v>50299</v>
      </c>
      <c r="C93" s="14">
        <v>1719</v>
      </c>
      <c r="D93" s="14">
        <v>35375</v>
      </c>
      <c r="E93" s="14">
        <v>13205</v>
      </c>
      <c r="F93" s="26">
        <v>10193593</v>
      </c>
      <c r="G93" s="7" t="s">
        <v>196</v>
      </c>
      <c r="H93" s="15">
        <v>43892</v>
      </c>
      <c r="I93">
        <f>(C93/B93*100)</f>
        <v>3.417562973418955</v>
      </c>
      <c r="J93">
        <f>(D93/B93*100)</f>
        <v>70.329430008548883</v>
      </c>
      <c r="K93">
        <f>(B93/F93*100)</f>
        <v>0.49343739739265635</v>
      </c>
      <c r="L93" s="23" t="str" cm="1">
        <f t="array" ref="L93">_xlfn.IFS(I93&gt;5,"HIGH RISK",AND(I93&gt;=2,I93&lt;=5),"MODERATE RISK",I93&lt;2,"LOW RISK")</f>
        <v>MODERATE RISK</v>
      </c>
      <c r="M93" cm="1">
        <f t="array" ref="M93">_xlfn.IFS(L93="LOW RISK",1,L93="MODERATE RISK",2,L93="HIGH RISK",3)</f>
        <v>2</v>
      </c>
    </row>
    <row r="94" spans="1:14" ht="18" customHeight="1" x14ac:dyDescent="0.35">
      <c r="A94" s="7" t="s">
        <v>91</v>
      </c>
      <c r="B94" s="14">
        <v>31142</v>
      </c>
      <c r="C94" s="14">
        <v>998</v>
      </c>
      <c r="D94" s="14">
        <v>21970</v>
      </c>
      <c r="E94" s="14">
        <v>8174</v>
      </c>
      <c r="F94" s="14">
        <v>126435859</v>
      </c>
      <c r="G94" s="7" t="s">
        <v>195</v>
      </c>
      <c r="H94" s="15">
        <v>43846</v>
      </c>
      <c r="I94">
        <f>(C94/B94*100)</f>
        <v>3.2046753580373775</v>
      </c>
      <c r="J94">
        <f>(D94/B94*100)</f>
        <v>70.547813242566306</v>
      </c>
      <c r="K94">
        <f>(B94/F94*100)</f>
        <v>2.4630670639094562E-2</v>
      </c>
      <c r="L94" s="23" t="str" cm="1">
        <f t="array" ref="L94">_xlfn.IFS(I94&gt;5,"HIGH RISK",AND(I94&gt;=2,I94&lt;=5),"MODERATE RISK",I94&lt;2,"LOW RISK")</f>
        <v>MODERATE RISK</v>
      </c>
      <c r="M94" cm="1">
        <f t="array" ref="M94">_xlfn.IFS(L94="LOW RISK",1,L94="MODERATE RISK",2,L94="HIGH RISK",3)</f>
        <v>2</v>
      </c>
    </row>
    <row r="95" spans="1:14" ht="18" customHeight="1" x14ac:dyDescent="0.35">
      <c r="A95" s="7" t="s">
        <v>12</v>
      </c>
      <c r="B95" s="14">
        <v>37390</v>
      </c>
      <c r="C95" s="14">
        <v>711</v>
      </c>
      <c r="D95" s="14">
        <v>26665</v>
      </c>
      <c r="E95" s="14">
        <v>10014</v>
      </c>
      <c r="F95" s="14">
        <v>2963811</v>
      </c>
      <c r="G95" s="7" t="s">
        <v>195</v>
      </c>
      <c r="H95" s="15">
        <v>43891</v>
      </c>
      <c r="I95">
        <f>(C95/B95*100)</f>
        <v>1.9015779620219311</v>
      </c>
      <c r="J95">
        <f>(D95/B95*100)</f>
        <v>71.315859855576363</v>
      </c>
      <c r="K95">
        <f>(B95/F95*100)</f>
        <v>1.261551428211853</v>
      </c>
      <c r="L95" s="23" t="str" cm="1">
        <f t="array" ref="L95">_xlfn.IFS(I95&gt;5,"HIGH RISK",AND(I95&gt;=2,I95&lt;=5),"MODERATE RISK",I95&lt;2,"LOW RISK")</f>
        <v>LOW RISK</v>
      </c>
      <c r="M95" cm="1">
        <f t="array" ref="M95">_xlfn.IFS(L95="LOW RISK",1,L95="MODERATE RISK",2,L95="HIGH RISK",3)</f>
        <v>1</v>
      </c>
    </row>
    <row r="96" spans="1:14" ht="18" customHeight="1" x14ac:dyDescent="0.35">
      <c r="A96" s="6" t="s">
        <v>74</v>
      </c>
      <c r="B96" s="12">
        <v>45309</v>
      </c>
      <c r="C96" s="12">
        <v>1761</v>
      </c>
      <c r="D96" s="12">
        <v>32455</v>
      </c>
      <c r="E96" s="12">
        <v>11093</v>
      </c>
      <c r="F96" s="12">
        <v>17946899</v>
      </c>
      <c r="G96" s="6" t="s">
        <v>198</v>
      </c>
      <c r="H96" s="13">
        <v>43903</v>
      </c>
      <c r="I96">
        <f>(C96/B96*100)</f>
        <v>3.8866450374097861</v>
      </c>
      <c r="J96">
        <f>(D96/B96*100)</f>
        <v>71.630360414045782</v>
      </c>
      <c r="K96">
        <f>(B96/F96*100)</f>
        <v>0.2524614419460432</v>
      </c>
      <c r="L96" s="23" t="str" cm="1">
        <f t="array" ref="L96">_xlfn.IFS(I96&gt;5,"HIGH RISK",AND(I96&gt;=2,I96&lt;=5),"MODERATE RISK",I96&lt;2,"LOW RISK")</f>
        <v>MODERATE RISK</v>
      </c>
      <c r="M96" cm="1">
        <f t="array" ref="M96">_xlfn.IFS(L96="LOW RISK",1,L96="MODERATE RISK",2,L96="HIGH RISK",3)</f>
        <v>2</v>
      </c>
    </row>
    <row r="97" spans="1:19" ht="18" customHeight="1" x14ac:dyDescent="0.35">
      <c r="A97" s="7" t="s">
        <v>59</v>
      </c>
      <c r="B97" s="14">
        <v>265</v>
      </c>
      <c r="C97" s="14">
        <v>0</v>
      </c>
      <c r="D97" s="14">
        <v>191</v>
      </c>
      <c r="E97" s="14">
        <v>74</v>
      </c>
      <c r="F97" s="14">
        <v>3551175</v>
      </c>
      <c r="G97" s="7" t="s">
        <v>197</v>
      </c>
      <c r="H97" s="15">
        <v>43911</v>
      </c>
      <c r="I97">
        <f>(C97/B97*100)</f>
        <v>0</v>
      </c>
      <c r="J97">
        <f>(D97/B97*100)</f>
        <v>72.075471698113205</v>
      </c>
      <c r="K97">
        <f>(B97/F97*100)</f>
        <v>7.4623188099713477E-3</v>
      </c>
      <c r="L97" s="23" t="str" cm="1">
        <f t="array" ref="L97">_xlfn.IFS(I97&gt;5,"HIGH RISK",AND(I97&gt;=2,I97&lt;=5),"MODERATE RISK",I97&lt;2,"LOW RISK")</f>
        <v>LOW RISK</v>
      </c>
      <c r="M97" cm="1">
        <f t="array" ref="M97">_xlfn.IFS(L97="LOW RISK",1,L97="MODERATE RISK",2,L97="HIGH RISK",3)</f>
        <v>1</v>
      </c>
      <c r="S97" s="1"/>
    </row>
    <row r="98" spans="1:19" ht="18" customHeight="1" x14ac:dyDescent="0.35">
      <c r="A98" s="6" t="s">
        <v>126</v>
      </c>
      <c r="B98" s="12">
        <v>3439</v>
      </c>
      <c r="C98" s="12">
        <v>108</v>
      </c>
      <c r="D98" s="12">
        <v>2492</v>
      </c>
      <c r="E98" s="12">
        <v>839</v>
      </c>
      <c r="F98" s="12">
        <v>6632263</v>
      </c>
      <c r="G98" s="6" t="s">
        <v>198</v>
      </c>
      <c r="H98" s="13">
        <v>43908</v>
      </c>
      <c r="I98">
        <f>(C98/B98*100)</f>
        <v>3.1404478045943587</v>
      </c>
      <c r="J98">
        <f>(D98/B98*100)</f>
        <v>72.462925268973549</v>
      </c>
      <c r="K98">
        <f>(B98/F98*100)</f>
        <v>5.1852587872344626E-2</v>
      </c>
      <c r="L98" s="23" t="str" cm="1">
        <f t="array" ref="L98">_xlfn.IFS(I98&gt;5,"HIGH RISK",AND(I98&gt;=2,I98&lt;=5),"MODERATE RISK",I98&lt;2,"LOW RISK")</f>
        <v>MODERATE RISK</v>
      </c>
      <c r="M98" cm="1">
        <f t="array" ref="M98">_xlfn.IFS(L98="LOW RISK",1,L98="MODERATE RISK",2,L98="HIGH RISK",3)</f>
        <v>2</v>
      </c>
    </row>
    <row r="99" spans="1:19" ht="18" customHeight="1" x14ac:dyDescent="0.35">
      <c r="A99" s="7" t="s">
        <v>123</v>
      </c>
      <c r="B99" s="14">
        <v>18752</v>
      </c>
      <c r="C99" s="14">
        <v>48</v>
      </c>
      <c r="D99" s="14">
        <v>13754</v>
      </c>
      <c r="E99" s="14">
        <v>4950</v>
      </c>
      <c r="F99" s="14">
        <v>29186486</v>
      </c>
      <c r="G99" s="7" t="s">
        <v>195</v>
      </c>
      <c r="H99" s="15">
        <v>43843</v>
      </c>
      <c r="I99">
        <f>(C99/B99*100)</f>
        <v>0.25597269624573377</v>
      </c>
      <c r="J99">
        <f>(D99/B99*100)</f>
        <v>73.346843003412971</v>
      </c>
      <c r="K99">
        <f>(B99/F99*100)</f>
        <v>6.4248913007204769E-2</v>
      </c>
      <c r="L99" s="23" t="str" cm="1">
        <f t="array" ref="L99">_xlfn.IFS(I99&gt;5,"HIGH RISK",AND(I99&gt;=2,I99&lt;=5),"MODERATE RISK",I99&lt;2,"LOW RISK")</f>
        <v>LOW RISK</v>
      </c>
      <c r="M99" cm="1">
        <f t="array" ref="M99">_xlfn.IFS(L99="LOW RISK",1,L99="MODERATE RISK",2,L99="HIGH RISK",3)</f>
        <v>1</v>
      </c>
    </row>
    <row r="100" spans="1:19" ht="18" customHeight="1" x14ac:dyDescent="0.35">
      <c r="A100" s="6" t="s">
        <v>50</v>
      </c>
      <c r="B100" s="12">
        <v>15516</v>
      </c>
      <c r="C100" s="12">
        <v>373</v>
      </c>
      <c r="D100" s="12">
        <v>11428</v>
      </c>
      <c r="E100" s="12">
        <v>3715</v>
      </c>
      <c r="F100" s="12">
        <v>10711019</v>
      </c>
      <c r="G100" s="6" t="s">
        <v>196</v>
      </c>
      <c r="H100" s="13">
        <v>43891</v>
      </c>
      <c r="I100">
        <f>(C100/B100*100)</f>
        <v>2.4039700953854086</v>
      </c>
      <c r="J100">
        <f>(D100/B100*100)</f>
        <v>73.653003351379226</v>
      </c>
      <c r="K100">
        <f>(B100/F100*100)</f>
        <v>0.1448601668991531</v>
      </c>
      <c r="L100" s="23" t="str" cm="1">
        <f t="array" ref="L100">_xlfn.IFS(I100&gt;5,"HIGH RISK",AND(I100&gt;=2,I100&lt;=5),"MODERATE RISK",I100&lt;2,"LOW RISK")</f>
        <v>MODERATE RISK</v>
      </c>
      <c r="M100" cm="1">
        <f t="array" ref="M100">_xlfn.IFS(L100="LOW RISK",1,L100="MODERATE RISK",2,L100="HIGH RISK",3)</f>
        <v>2</v>
      </c>
    </row>
    <row r="101" spans="1:19" ht="18" customHeight="1" x14ac:dyDescent="0.35">
      <c r="A101" s="6" t="s">
        <v>142</v>
      </c>
      <c r="B101" s="12">
        <v>816680</v>
      </c>
      <c r="C101" s="12">
        <v>13334</v>
      </c>
      <c r="D101" s="12">
        <v>602249</v>
      </c>
      <c r="E101" s="12">
        <v>201097</v>
      </c>
      <c r="F101" s="12">
        <v>145940924</v>
      </c>
      <c r="G101" s="6" t="s">
        <v>196</v>
      </c>
      <c r="H101" s="13">
        <v>43861</v>
      </c>
      <c r="I101">
        <f>(C101/B101*100)</f>
        <v>1.6327080374197971</v>
      </c>
      <c r="J101">
        <f>(D101/B101*100)</f>
        <v>73.74357153352598</v>
      </c>
      <c r="K101">
        <f>(B101/F101*100)</f>
        <v>0.55959629253820542</v>
      </c>
      <c r="L101" s="23" t="str" cm="1">
        <f t="array" ref="L101">_xlfn.IFS(I101&gt;5,"HIGH RISK",AND(I101&gt;=2,I101&lt;=5),"MODERATE RISK",I101&lt;2,"LOW RISK")</f>
        <v>LOW RISK</v>
      </c>
      <c r="M101" cm="1">
        <f t="array" ref="M101">_xlfn.IFS(L101="LOW RISK",1,L101="MODERATE RISK",2,L101="HIGH RISK",3)</f>
        <v>1</v>
      </c>
    </row>
    <row r="102" spans="1:19" ht="18" customHeight="1" x14ac:dyDescent="0.35">
      <c r="A102" s="7" t="s">
        <v>153</v>
      </c>
      <c r="B102" s="14">
        <v>1783</v>
      </c>
      <c r="C102" s="14">
        <v>66</v>
      </c>
      <c r="D102" s="14">
        <v>1317</v>
      </c>
      <c r="E102" s="14">
        <v>400</v>
      </c>
      <c r="F102" s="14">
        <v>7992169</v>
      </c>
      <c r="G102" s="7" t="s">
        <v>197</v>
      </c>
      <c r="H102" s="15">
        <v>43921</v>
      </c>
      <c r="I102">
        <f>(C102/B102*100)</f>
        <v>3.7016264722378009</v>
      </c>
      <c r="J102">
        <f>(D102/B102*100)</f>
        <v>73.864273696017946</v>
      </c>
      <c r="K102">
        <f>(B102/F102*100)</f>
        <v>2.2309338053286911E-2</v>
      </c>
      <c r="L102" s="23" t="str" cm="1">
        <f t="array" ref="L102">_xlfn.IFS(I102&gt;5,"HIGH RISK",AND(I102&gt;=2,I102&lt;=5),"MODERATE RISK",I102&lt;2,"LOW RISK")</f>
        <v>MODERATE RISK</v>
      </c>
      <c r="M102" cm="1">
        <f t="array" ref="M102">_xlfn.IFS(L102="LOW RISK",1,L102="MODERATE RISK",2,L102="HIGH RISK",3)</f>
        <v>2</v>
      </c>
    </row>
    <row r="103" spans="1:19" ht="18" customHeight="1" x14ac:dyDescent="0.35">
      <c r="A103" s="7" t="s">
        <v>131</v>
      </c>
      <c r="B103" s="14">
        <v>77058</v>
      </c>
      <c r="C103" s="14">
        <v>393</v>
      </c>
      <c r="D103" s="14">
        <v>57028</v>
      </c>
      <c r="E103" s="14">
        <v>19637</v>
      </c>
      <c r="F103" s="14">
        <v>5118446</v>
      </c>
      <c r="G103" s="7" t="s">
        <v>195</v>
      </c>
      <c r="H103" s="15">
        <v>43885</v>
      </c>
      <c r="I103">
        <f>(C103/B103*100)</f>
        <v>0.51000545043992829</v>
      </c>
      <c r="J103">
        <f>(D103/B103*100)</f>
        <v>74.006592436865731</v>
      </c>
      <c r="K103">
        <f>(B103/F103*100)</f>
        <v>1.5054960040606076</v>
      </c>
      <c r="L103" s="23" t="str" cm="1">
        <f t="array" ref="L103">_xlfn.IFS(I103&gt;5,"HIGH RISK",AND(I103&gt;=2,I103&lt;=5),"MODERATE RISK",I103&lt;2,"LOW RISK")</f>
        <v>LOW RISK</v>
      </c>
      <c r="M103" cm="1">
        <f t="array" ref="M103">_xlfn.IFS(L103="LOW RISK",1,L103="MODERATE RISK",2,L103="HIGH RISK",3)</f>
        <v>1</v>
      </c>
    </row>
    <row r="104" spans="1:19" ht="18" customHeight="1" x14ac:dyDescent="0.35">
      <c r="A104" s="7" t="s">
        <v>155</v>
      </c>
      <c r="B104" s="14">
        <v>2181</v>
      </c>
      <c r="C104" s="14">
        <v>28</v>
      </c>
      <c r="D104" s="14">
        <v>1616</v>
      </c>
      <c r="E104" s="14">
        <v>537</v>
      </c>
      <c r="F104" s="14">
        <v>5459915</v>
      </c>
      <c r="G104" s="7" t="s">
        <v>196</v>
      </c>
      <c r="H104" s="15">
        <v>43896</v>
      </c>
      <c r="I104">
        <f>(C104/B104*100)</f>
        <v>1.2838147638697845</v>
      </c>
      <c r="J104">
        <f>(D104/B104*100)</f>
        <v>74.094452086198999</v>
      </c>
      <c r="K104">
        <f>(B104/F104*100)</f>
        <v>3.9945676809986973E-2</v>
      </c>
      <c r="L104" s="23" t="str" cm="1">
        <f t="array" ref="L104">_xlfn.IFS(I104&gt;5,"HIGH RISK",AND(I104&gt;=2,I104&lt;=5),"MODERATE RISK",I104&lt;2,"LOW RISK")</f>
        <v>LOW RISK</v>
      </c>
      <c r="M104" cm="1">
        <f t="array" ref="M104">_xlfn.IFS(L104="LOW RISK",1,L104="MODERATE RISK",2,L104="HIGH RISK",3)</f>
        <v>1</v>
      </c>
    </row>
    <row r="105" spans="1:19" ht="18" customHeight="1" x14ac:dyDescent="0.35">
      <c r="A105" s="7" t="s">
        <v>81</v>
      </c>
      <c r="B105" s="14">
        <v>4448</v>
      </c>
      <c r="C105" s="14">
        <v>596</v>
      </c>
      <c r="D105" s="14">
        <v>3329</v>
      </c>
      <c r="E105" s="14">
        <v>523</v>
      </c>
      <c r="F105" s="14">
        <v>9657785</v>
      </c>
      <c r="G105" s="7" t="s">
        <v>196</v>
      </c>
      <c r="H105" s="15">
        <v>43894</v>
      </c>
      <c r="I105">
        <f>(C105/B105*100)</f>
        <v>13.399280575539569</v>
      </c>
      <c r="J105">
        <f>(D105/B105*100)</f>
        <v>74.842625899280577</v>
      </c>
      <c r="K105">
        <f>(B105/F105*100)</f>
        <v>4.6056109138896753E-2</v>
      </c>
      <c r="L105" s="23" t="str" cm="1">
        <f t="array" ref="L105">_xlfn.IFS(I105&gt;5,"HIGH RISK",AND(I105&gt;=2,I105&lt;=5),"MODERATE RISK",I105&lt;2,"LOW RISK")</f>
        <v>HIGH RISK</v>
      </c>
      <c r="M105" cm="1">
        <f t="array" ref="M105">_xlfn.IFS(L105="LOW RISK",1,L105="MODERATE RISK",2,L105="HIGH RISK",3)</f>
        <v>3</v>
      </c>
    </row>
    <row r="106" spans="1:19" ht="18" customHeight="1" x14ac:dyDescent="0.35">
      <c r="A106" s="7" t="s">
        <v>113</v>
      </c>
      <c r="B106" s="14">
        <v>6208</v>
      </c>
      <c r="C106" s="14">
        <v>156</v>
      </c>
      <c r="D106" s="14">
        <v>4653</v>
      </c>
      <c r="E106" s="14">
        <v>1399</v>
      </c>
      <c r="F106" s="14">
        <v>4660728</v>
      </c>
      <c r="G106" s="7" t="s">
        <v>197</v>
      </c>
      <c r="H106" s="15">
        <v>43903</v>
      </c>
      <c r="I106">
        <f>(C106/B106*100)</f>
        <v>2.5128865979381443</v>
      </c>
      <c r="J106">
        <f>(D106/B106*100)</f>
        <v>74.951675257731949</v>
      </c>
      <c r="K106">
        <f>(B106/F106*100)</f>
        <v>0.13319807549378554</v>
      </c>
      <c r="L106" s="23" t="str" cm="1">
        <f t="array" ref="L106">_xlfn.IFS(I106&gt;5,"HIGH RISK",AND(I106&gt;=2,I106&lt;=5),"MODERATE RISK",I106&lt;2,"LOW RISK")</f>
        <v>MODERATE RISK</v>
      </c>
      <c r="M106" cm="1">
        <f t="array" ref="M106">_xlfn.IFS(L106="LOW RISK",1,L106="MODERATE RISK",2,L106="HIGH RISK",3)</f>
        <v>2</v>
      </c>
    </row>
    <row r="107" spans="1:19" ht="18" customHeight="1" x14ac:dyDescent="0.35">
      <c r="A107" s="6" t="s">
        <v>146</v>
      </c>
      <c r="B107" s="12">
        <v>52</v>
      </c>
      <c r="C107" s="12">
        <v>0</v>
      </c>
      <c r="D107" s="12">
        <v>39</v>
      </c>
      <c r="E107" s="12">
        <v>13</v>
      </c>
      <c r="F107" s="16">
        <v>104000</v>
      </c>
      <c r="G107" s="6" t="s">
        <v>198</v>
      </c>
      <c r="H107" s="13">
        <v>43901</v>
      </c>
      <c r="I107">
        <f>(C107/B107*100)</f>
        <v>0</v>
      </c>
      <c r="J107">
        <f>(D107/B107*100)</f>
        <v>75</v>
      </c>
      <c r="K107">
        <f>(B107/F107*100)</f>
        <v>0.05</v>
      </c>
      <c r="L107" s="23" t="str" cm="1">
        <f t="array" ref="L107">_xlfn.IFS(I107&gt;5,"HIGH RISK",AND(I107&gt;=2,I107&lt;=5),"MODERATE RISK",I107&lt;2,"LOW RISK")</f>
        <v>LOW RISK</v>
      </c>
      <c r="M107" cm="1">
        <f t="array" ref="M107">_xlfn.IFS(L107="LOW RISK",1,L107="MODERATE RISK",2,L107="HIGH RISK",3)</f>
        <v>1</v>
      </c>
    </row>
    <row r="108" spans="1:19" ht="18" customHeight="1" x14ac:dyDescent="0.35">
      <c r="A108" s="7" t="s">
        <v>10</v>
      </c>
      <c r="B108" s="14">
        <v>86</v>
      </c>
      <c r="C108" s="14">
        <v>3</v>
      </c>
      <c r="D108" s="14">
        <v>65</v>
      </c>
      <c r="E108" s="14">
        <v>18</v>
      </c>
      <c r="F108" s="14">
        <v>98010</v>
      </c>
      <c r="G108" s="7" t="s">
        <v>198</v>
      </c>
      <c r="H108" s="15">
        <v>43903</v>
      </c>
      <c r="I108">
        <f>(C108/B108*100)</f>
        <v>3.4883720930232558</v>
      </c>
      <c r="J108">
        <f>(D108/B108*100)</f>
        <v>75.581395348837205</v>
      </c>
      <c r="K108">
        <f>(B108/F108*100)</f>
        <v>8.7746148352208966E-2</v>
      </c>
      <c r="L108" s="23" t="str" cm="1">
        <f t="array" ref="L108">_xlfn.IFS(I108&gt;5,"HIGH RISK",AND(I108&gt;=2,I108&lt;=5),"MODERATE RISK",I108&lt;2,"LOW RISK")</f>
        <v>MODERATE RISK</v>
      </c>
      <c r="M108" cm="1">
        <f t="array" ref="M108">_xlfn.IFS(L108="LOW RISK",1,L108="MODERATE RISK",2,L108="HIGH RISK",3)</f>
        <v>2</v>
      </c>
    </row>
    <row r="109" spans="1:19" ht="18" customHeight="1" x14ac:dyDescent="0.35">
      <c r="A109" s="6" t="s">
        <v>110</v>
      </c>
      <c r="B109" s="12">
        <v>3369</v>
      </c>
      <c r="C109" s="12">
        <v>15</v>
      </c>
      <c r="D109" s="12">
        <v>2547</v>
      </c>
      <c r="E109" s="12">
        <v>807</v>
      </c>
      <c r="F109" s="12">
        <v>541448</v>
      </c>
      <c r="G109" s="6" t="s">
        <v>195</v>
      </c>
      <c r="H109" s="13">
        <v>43897</v>
      </c>
      <c r="I109">
        <f>(C109/B109*100)</f>
        <v>0.44523597506678536</v>
      </c>
      <c r="J109">
        <f>(D109/B109*100)</f>
        <v>75.60106856634016</v>
      </c>
      <c r="K109">
        <f>(B109/F109*100)</f>
        <v>0.62222041636500647</v>
      </c>
      <c r="L109" s="23" t="str" cm="1">
        <f t="array" ref="L109">_xlfn.IFS(I109&gt;5,"HIGH RISK",AND(I109&gt;=2,I109&lt;=5),"MODERATE RISK",I109&lt;2,"LOW RISK")</f>
        <v>LOW RISK</v>
      </c>
      <c r="M109" cm="1">
        <f t="array" ref="M109">_xlfn.IFS(L109="LOW RISK",1,L109="MODERATE RISK",2,L109="HIGH RISK",3)</f>
        <v>1</v>
      </c>
    </row>
    <row r="110" spans="1:19" ht="18" customHeight="1" x14ac:dyDescent="0.35">
      <c r="A110" s="7" t="s">
        <v>28</v>
      </c>
      <c r="B110" s="14">
        <v>2442375</v>
      </c>
      <c r="C110" s="14">
        <v>87618</v>
      </c>
      <c r="D110" s="14">
        <v>1846641</v>
      </c>
      <c r="E110" s="14">
        <v>508116</v>
      </c>
      <c r="F110" s="14">
        <v>212710692</v>
      </c>
      <c r="G110" s="7" t="s">
        <v>199</v>
      </c>
      <c r="H110" s="15">
        <v>43887</v>
      </c>
      <c r="I110">
        <f>(C110/B110*100)</f>
        <v>3.5874097957930293</v>
      </c>
      <c r="J110">
        <f>(D110/B110*100)</f>
        <v>75.608413941348076</v>
      </c>
      <c r="K110">
        <f>(B110/F110*100)</f>
        <v>1.1482144959596108</v>
      </c>
      <c r="L110" s="23" t="str" cm="1">
        <f t="array" ref="L110">_xlfn.IFS(I110&gt;5,"HIGH RISK",AND(I110&gt;=2,I110&lt;=5),"MODERATE RISK",I110&lt;2,"LOW RISK")</f>
        <v>MODERATE RISK</v>
      </c>
      <c r="M110" cm="1">
        <f t="array" ref="M110">_xlfn.IFS(L110="LOW RISK",1,L110="MODERATE RISK",2,L110="HIGH RISK",3)</f>
        <v>2</v>
      </c>
    </row>
    <row r="111" spans="1:19" ht="18" customHeight="1" x14ac:dyDescent="0.35">
      <c r="A111" s="6" t="s">
        <v>162</v>
      </c>
      <c r="B111" s="12">
        <v>2805</v>
      </c>
      <c r="C111" s="12">
        <v>11</v>
      </c>
      <c r="D111" s="12">
        <v>2121</v>
      </c>
      <c r="E111" s="12">
        <v>673</v>
      </c>
      <c r="F111" s="12">
        <v>21422362</v>
      </c>
      <c r="G111" s="6" t="s">
        <v>195</v>
      </c>
      <c r="H111" s="13">
        <v>43857</v>
      </c>
      <c r="I111">
        <f>(C111/B111*100)</f>
        <v>0.39215686274509803</v>
      </c>
      <c r="J111">
        <f>(D111/B111*100)</f>
        <v>75.61497326203208</v>
      </c>
      <c r="K111">
        <f>(B111/F111*100)</f>
        <v>1.3093794232400705E-2</v>
      </c>
      <c r="L111" s="23" t="str" cm="1">
        <f t="array" ref="L111">_xlfn.IFS(I111&gt;5,"HIGH RISK",AND(I111&gt;=2,I111&lt;=5),"MODERATE RISK",I111&lt;2,"LOW RISK")</f>
        <v>LOW RISK</v>
      </c>
      <c r="M111" cm="1">
        <f t="array" ref="M111">_xlfn.IFS(L111="LOW RISK",1,L111="MODERATE RISK",2,L111="HIGH RISK",3)</f>
        <v>1</v>
      </c>
    </row>
    <row r="112" spans="1:19" ht="18" customHeight="1" x14ac:dyDescent="0.35">
      <c r="A112" s="6" t="s">
        <v>138</v>
      </c>
      <c r="B112" s="12">
        <v>43402</v>
      </c>
      <c r="C112" s="12">
        <v>1676</v>
      </c>
      <c r="D112" s="12">
        <v>32856</v>
      </c>
      <c r="E112" s="12">
        <v>8870</v>
      </c>
      <c r="F112" s="12">
        <v>37842302</v>
      </c>
      <c r="G112" s="6" t="s">
        <v>196</v>
      </c>
      <c r="H112" s="13">
        <v>43894</v>
      </c>
      <c r="I112">
        <f>(C112/B112*100)</f>
        <v>3.8615731993917333</v>
      </c>
      <c r="J112">
        <f>(D112/B112*100)</f>
        <v>75.701580572323863</v>
      </c>
      <c r="K112">
        <f>(B112/F112*100)</f>
        <v>0.11469175421727779</v>
      </c>
      <c r="L112" s="23" t="str" cm="1">
        <f t="array" ref="L112">_xlfn.IFS(I112&gt;5,"HIGH RISK",AND(I112&gt;=2,I112&lt;=5),"MODERATE RISK",I112&lt;2,"LOW RISK")</f>
        <v>MODERATE RISK</v>
      </c>
      <c r="M112" cm="1">
        <f t="array" ref="M112">_xlfn.IFS(L112="LOW RISK",1,L112="MODERATE RISK",2,L112="HIGH RISK",3)</f>
        <v>2</v>
      </c>
    </row>
    <row r="113" spans="1:13" ht="18" customHeight="1" x14ac:dyDescent="0.35">
      <c r="A113" s="7" t="s">
        <v>111</v>
      </c>
      <c r="B113" s="14">
        <v>2513</v>
      </c>
      <c r="C113" s="14">
        <v>124</v>
      </c>
      <c r="D113" s="14">
        <v>1913</v>
      </c>
      <c r="E113" s="14">
        <v>476</v>
      </c>
      <c r="F113" s="14">
        <v>20302901</v>
      </c>
      <c r="G113" s="7" t="s">
        <v>197</v>
      </c>
      <c r="H113" s="15">
        <v>43915</v>
      </c>
      <c r="I113">
        <f>(C113/B113*100)</f>
        <v>4.9343414245921213</v>
      </c>
      <c r="J113">
        <f>(D113/B113*100)</f>
        <v>76.124154397134902</v>
      </c>
      <c r="K113">
        <f>(B113/F113*100)</f>
        <v>1.2377541514880066E-2</v>
      </c>
      <c r="L113" s="23" t="str" cm="1">
        <f t="array" ref="L113">_xlfn.IFS(I113&gt;5,"HIGH RISK",AND(I113&gt;=2,I113&lt;=5),"MODERATE RISK",I113&lt;2,"LOW RISK")</f>
        <v>MODERATE RISK</v>
      </c>
      <c r="M113" cm="1">
        <f t="array" ref="M113">_xlfn.IFS(L113="LOW RISK",1,L113="MODERATE RISK",2,L113="HIGH RISK",3)</f>
        <v>2</v>
      </c>
    </row>
    <row r="114" spans="1:13" ht="18" customHeight="1" x14ac:dyDescent="0.35">
      <c r="A114" s="6" t="s">
        <v>106</v>
      </c>
      <c r="B114" s="12">
        <v>6321</v>
      </c>
      <c r="C114" s="12">
        <v>112</v>
      </c>
      <c r="D114" s="12">
        <v>4825</v>
      </c>
      <c r="E114" s="12">
        <v>1384</v>
      </c>
      <c r="F114" s="12">
        <v>626952</v>
      </c>
      <c r="G114" s="6" t="s">
        <v>196</v>
      </c>
      <c r="H114" s="13">
        <v>43890</v>
      </c>
      <c r="I114">
        <f>(C114/B114*100)</f>
        <v>1.7718715393133997</v>
      </c>
      <c r="J114">
        <f>(D114/B114*100)</f>
        <v>76.332858724885298</v>
      </c>
      <c r="K114">
        <f>(B114/F114*100)</f>
        <v>1.0082111549209509</v>
      </c>
      <c r="L114" s="23" t="str" cm="1">
        <f t="array" ref="L114">_xlfn.IFS(I114&gt;5,"HIGH RISK",AND(I114&gt;=2,I114&lt;=5),"MODERATE RISK",I114&lt;2,"LOW RISK")</f>
        <v>LOW RISK</v>
      </c>
      <c r="M114" cm="1">
        <f t="array" ref="M114">_xlfn.IFS(L114="LOW RISK",1,L114="MODERATE RISK",2,L114="HIGH RISK",3)</f>
        <v>1</v>
      </c>
    </row>
    <row r="115" spans="1:13" ht="18" customHeight="1" x14ac:dyDescent="0.35">
      <c r="A115" s="6" t="s">
        <v>15</v>
      </c>
      <c r="B115" s="12">
        <v>30446</v>
      </c>
      <c r="C115" s="12">
        <v>423</v>
      </c>
      <c r="D115" s="12">
        <v>23242</v>
      </c>
      <c r="E115" s="12">
        <v>6781</v>
      </c>
      <c r="F115" s="12">
        <v>10148243</v>
      </c>
      <c r="G115" s="6" t="s">
        <v>195</v>
      </c>
      <c r="H115" s="13">
        <v>43889</v>
      </c>
      <c r="I115">
        <f>(C115/B115*100)</f>
        <v>1.389345069959929</v>
      </c>
      <c r="J115">
        <f>(D115/B115*100)</f>
        <v>76.338435262431844</v>
      </c>
      <c r="K115">
        <f>(B115/F115*100)</f>
        <v>0.30001252433549336</v>
      </c>
      <c r="L115" s="23" t="str" cm="1">
        <f t="array" ref="L115">_xlfn.IFS(I115&gt;5,"HIGH RISK",AND(I115&gt;=2,I115&lt;=5),"MODERATE RISK",I115&lt;2,"LOW RISK")</f>
        <v>LOW RISK</v>
      </c>
      <c r="M115" cm="1">
        <f t="array" ref="M115">_xlfn.IFS(L115="LOW RISK",1,L115="MODERATE RISK",2,L115="HIGH RISK",3)</f>
        <v>1</v>
      </c>
    </row>
    <row r="116" spans="1:13" ht="18" customHeight="1" x14ac:dyDescent="0.35">
      <c r="A116" s="6" t="s">
        <v>118</v>
      </c>
      <c r="B116" s="12">
        <v>289</v>
      </c>
      <c r="C116" s="12">
        <v>0</v>
      </c>
      <c r="D116" s="12">
        <v>222</v>
      </c>
      <c r="E116" s="12">
        <v>67</v>
      </c>
      <c r="F116" s="12">
        <v>3283344</v>
      </c>
      <c r="G116" s="6" t="s">
        <v>195</v>
      </c>
      <c r="H116" s="13">
        <v>43900</v>
      </c>
      <c r="I116">
        <f>(C116/B116*100)</f>
        <v>0</v>
      </c>
      <c r="J116">
        <f>(D116/B116*100)</f>
        <v>76.816608996539799</v>
      </c>
      <c r="K116">
        <f>(B116/F116*100)</f>
        <v>8.8020018615167939E-3</v>
      </c>
      <c r="L116" s="23" t="str" cm="1">
        <f t="array" ref="L116">_xlfn.IFS(I116&gt;5,"HIGH RISK",AND(I116&gt;=2,I116&lt;=5),"MODERATE RISK",I116&lt;2,"LOW RISK")</f>
        <v>LOW RISK</v>
      </c>
      <c r="M116" cm="1">
        <f t="array" ref="M116">_xlfn.IFS(L116="LOW RISK",1,L116="MODERATE RISK",2,L116="HIGH RISK",3)</f>
        <v>1</v>
      </c>
    </row>
    <row r="117" spans="1:13" ht="18" customHeight="1" x14ac:dyDescent="0.35">
      <c r="A117" s="7" t="s">
        <v>115</v>
      </c>
      <c r="B117" s="14">
        <v>395489</v>
      </c>
      <c r="C117" s="14">
        <v>44022</v>
      </c>
      <c r="D117" s="14">
        <v>303810</v>
      </c>
      <c r="E117" s="14">
        <v>47657</v>
      </c>
      <c r="F117" s="14">
        <v>129066160</v>
      </c>
      <c r="G117" s="7" t="s">
        <v>198</v>
      </c>
      <c r="H117" s="15">
        <v>43889</v>
      </c>
      <c r="I117">
        <f>(C117/B117*100)</f>
        <v>11.131030193001576</v>
      </c>
      <c r="J117">
        <f>(D117/B117*100)</f>
        <v>76.818824290941095</v>
      </c>
      <c r="K117">
        <f>(B117/F117*100)</f>
        <v>0.30642346529872738</v>
      </c>
      <c r="L117" s="23" t="str" cm="1">
        <f t="array" ref="L117">_xlfn.IFS(I117&gt;5,"HIGH RISK",AND(I117&gt;=2,I117&lt;=5),"MODERATE RISK",I117&lt;2,"LOW RISK")</f>
        <v>HIGH RISK</v>
      </c>
      <c r="M117" cm="1">
        <f t="array" ref="M117">_xlfn.IFS(L117="LOW RISK",1,L117="MODERATE RISK",2,L117="HIGH RISK",3)</f>
        <v>3</v>
      </c>
    </row>
    <row r="118" spans="1:13" ht="18" customHeight="1" x14ac:dyDescent="0.35">
      <c r="A118" s="6" t="s">
        <v>181</v>
      </c>
      <c r="B118" s="12">
        <v>1202</v>
      </c>
      <c r="C118" s="12">
        <v>35</v>
      </c>
      <c r="D118" s="12">
        <v>951</v>
      </c>
      <c r="E118" s="12">
        <v>216</v>
      </c>
      <c r="F118" s="12">
        <v>3474956</v>
      </c>
      <c r="G118" s="6" t="s">
        <v>199</v>
      </c>
      <c r="H118" s="13">
        <v>43903</v>
      </c>
      <c r="I118">
        <f>(C118/B118*100)</f>
        <v>2.9118136439267883</v>
      </c>
      <c r="J118">
        <f>(D118/B118*100)</f>
        <v>79.118136439267886</v>
      </c>
      <c r="K118">
        <f>(B118/F118*100)</f>
        <v>3.4590366036289379E-2</v>
      </c>
      <c r="L118" s="23" t="str" cm="1">
        <f t="array" ref="L118">_xlfn.IFS(I118&gt;5,"HIGH RISK",AND(I118&gt;=2,I118&lt;=5),"MODERATE RISK",I118&lt;2,"LOW RISK")</f>
        <v>MODERATE RISK</v>
      </c>
      <c r="M118" cm="1">
        <f t="array" ref="M118">_xlfn.IFS(L118="LOW RISK",1,L118="MODERATE RISK",2,L118="HIGH RISK",3)</f>
        <v>2</v>
      </c>
    </row>
    <row r="119" spans="1:13" ht="18" customHeight="1" x14ac:dyDescent="0.35">
      <c r="A119" s="6" t="s">
        <v>120</v>
      </c>
      <c r="B119" s="12">
        <v>20887</v>
      </c>
      <c r="C119" s="12">
        <v>316</v>
      </c>
      <c r="D119" s="12">
        <v>16553</v>
      </c>
      <c r="E119" s="12">
        <v>4018</v>
      </c>
      <c r="F119" s="12">
        <v>36953359</v>
      </c>
      <c r="G119" s="6" t="s">
        <v>197</v>
      </c>
      <c r="H119" s="13">
        <v>43892</v>
      </c>
      <c r="I119">
        <f>(C119/B119*100)</f>
        <v>1.5129027624838416</v>
      </c>
      <c r="J119">
        <f>(D119/B119*100)</f>
        <v>79.250251352515917</v>
      </c>
      <c r="K119">
        <f>(B119/F119*100)</f>
        <v>5.6522601910153819E-2</v>
      </c>
      <c r="L119" s="23" t="str" cm="1">
        <f t="array" ref="L119">_xlfn.IFS(I119&gt;5,"HIGH RISK",AND(I119&gt;=2,I119&lt;=5),"MODERATE RISK",I119&lt;2,"LOW RISK")</f>
        <v>LOW RISK</v>
      </c>
      <c r="M119" cm="1">
        <f t="array" ref="M119">_xlfn.IFS(L119="LOW RISK",1,L119="MODERATE RISK",2,L119="HIGH RISK",3)</f>
        <v>1</v>
      </c>
    </row>
    <row r="120" spans="1:13" ht="18" customHeight="1" x14ac:dyDescent="0.35">
      <c r="A120" s="7" t="s">
        <v>174</v>
      </c>
      <c r="B120" s="14">
        <v>1455</v>
      </c>
      <c r="C120" s="14">
        <v>50</v>
      </c>
      <c r="D120" s="14">
        <v>1157</v>
      </c>
      <c r="E120" s="14">
        <v>248</v>
      </c>
      <c r="F120" s="14">
        <v>11830801</v>
      </c>
      <c r="G120" s="7" t="s">
        <v>197</v>
      </c>
      <c r="H120" s="15">
        <v>43892</v>
      </c>
      <c r="I120">
        <f>(C120/B120*100)</f>
        <v>3.4364261168384882</v>
      </c>
      <c r="J120">
        <f>(D120/B120*100)</f>
        <v>79.518900343642613</v>
      </c>
      <c r="K120">
        <f>(B120/F120*100)</f>
        <v>1.2298406506879795E-2</v>
      </c>
      <c r="L120" s="23" t="str" cm="1">
        <f t="array" ref="L120">_xlfn.IFS(I120&gt;5,"HIGH RISK",AND(I120&gt;=2,I120&lt;=5),"MODERATE RISK",I120&lt;2,"LOW RISK")</f>
        <v>MODERATE RISK</v>
      </c>
      <c r="M120" cm="1">
        <f t="array" ref="M120">_xlfn.IFS(L120="LOW RISK",1,L120="MODERATE RISK",2,L120="HIGH RISK",3)</f>
        <v>2</v>
      </c>
    </row>
    <row r="121" spans="1:13" ht="18" customHeight="1" x14ac:dyDescent="0.35">
      <c r="A121" s="6" t="s">
        <v>32</v>
      </c>
      <c r="B121" s="12">
        <v>378</v>
      </c>
      <c r="C121" s="12">
        <v>1</v>
      </c>
      <c r="D121" s="12">
        <v>301</v>
      </c>
      <c r="E121" s="12">
        <v>76</v>
      </c>
      <c r="F121" s="12">
        <v>11922216</v>
      </c>
      <c r="G121" s="6" t="s">
        <v>197</v>
      </c>
      <c r="H121" s="13">
        <v>43921</v>
      </c>
      <c r="I121">
        <f>(C121/B121*100)</f>
        <v>0.26455026455026454</v>
      </c>
      <c r="J121">
        <f>(D121/B121*100)</f>
        <v>79.629629629629633</v>
      </c>
      <c r="K121">
        <f>(B121/F121*100)</f>
        <v>3.1705515149197091E-3</v>
      </c>
      <c r="L121" s="23" t="str" cm="1">
        <f t="array" ref="L121">_xlfn.IFS(I121&gt;5,"HIGH RISK",AND(I121&gt;=2,I121&lt;=5),"MODERATE RISK",I121&lt;2,"LOW RISK")</f>
        <v>LOW RISK</v>
      </c>
      <c r="M121" cm="1">
        <f t="array" ref="M121">_xlfn.IFS(L121="LOW RISK",1,L121="MODERATE RISK",2,L121="HIGH RISK",3)</f>
        <v>1</v>
      </c>
    </row>
    <row r="122" spans="1:13" ht="18" customHeight="1" x14ac:dyDescent="0.35">
      <c r="A122" s="7" t="s">
        <v>186</v>
      </c>
      <c r="B122" s="14">
        <v>10</v>
      </c>
      <c r="C122" s="14">
        <v>1</v>
      </c>
      <c r="D122" s="14">
        <v>8</v>
      </c>
      <c r="E122" s="14">
        <v>1</v>
      </c>
      <c r="F122" s="14">
        <v>598682</v>
      </c>
      <c r="G122" s="7" t="s">
        <v>197</v>
      </c>
      <c r="H122" s="15">
        <v>43925</v>
      </c>
      <c r="I122">
        <f>(C122/B122*100)</f>
        <v>10</v>
      </c>
      <c r="J122">
        <f>(D122/B122*100)</f>
        <v>80</v>
      </c>
      <c r="K122">
        <f>(B122/F122*100)</f>
        <v>1.6703358377235327E-3</v>
      </c>
      <c r="L122" s="23" t="str" cm="1">
        <f t="array" ref="L122">_xlfn.IFS(I122&gt;5,"HIGH RISK",AND(I122&gt;=2,I122&lt;=5),"MODERATE RISK",I122&lt;2,"LOW RISK")</f>
        <v>HIGH RISK</v>
      </c>
      <c r="M122" cm="1">
        <f t="array" ref="M122">_xlfn.IFS(L122="LOW RISK",1,L122="MODERATE RISK",2,L122="HIGH RISK",3)</f>
        <v>3</v>
      </c>
    </row>
    <row r="123" spans="1:13" ht="18" customHeight="1" x14ac:dyDescent="0.35">
      <c r="A123" s="7" t="s">
        <v>105</v>
      </c>
      <c r="B123" s="14">
        <v>2019</v>
      </c>
      <c r="C123" s="14">
        <v>80</v>
      </c>
      <c r="D123" s="14">
        <v>1620</v>
      </c>
      <c r="E123" s="14">
        <v>319</v>
      </c>
      <c r="F123" s="14">
        <v>2718121</v>
      </c>
      <c r="G123" s="7" t="s">
        <v>196</v>
      </c>
      <c r="H123" s="15">
        <v>43889</v>
      </c>
      <c r="I123">
        <f>(C123/B123*100)</f>
        <v>3.96235760277365</v>
      </c>
      <c r="J123">
        <f>(D123/B123*100)</f>
        <v>80.237741456166418</v>
      </c>
      <c r="K123">
        <f>(B123/F123*100)</f>
        <v>7.4279253940497864E-2</v>
      </c>
      <c r="L123" s="23" t="str" cm="1">
        <f t="array" ref="L123">_xlfn.IFS(I123&gt;5,"HIGH RISK",AND(I123&gt;=2,I123&lt;=5),"MODERATE RISK",I123&lt;2,"LOW RISK")</f>
        <v>MODERATE RISK</v>
      </c>
      <c r="M123" cm="1">
        <f t="array" ref="M123">_xlfn.IFS(L123="LOW RISK",1,L123="MODERATE RISK",2,L123="HIGH RISK",3)</f>
        <v>2</v>
      </c>
    </row>
    <row r="124" spans="1:13" ht="18" customHeight="1" x14ac:dyDescent="0.35">
      <c r="A124" s="7" t="s">
        <v>49</v>
      </c>
      <c r="B124" s="14">
        <v>1060</v>
      </c>
      <c r="C124" s="14">
        <v>19</v>
      </c>
      <c r="D124" s="14">
        <v>852</v>
      </c>
      <c r="E124" s="14">
        <v>189</v>
      </c>
      <c r="F124" s="14">
        <v>1208238</v>
      </c>
      <c r="G124" s="7" t="s">
        <v>195</v>
      </c>
      <c r="H124" s="15">
        <v>43899</v>
      </c>
      <c r="I124">
        <f>(C124/B124*100)</f>
        <v>1.7924528301886793</v>
      </c>
      <c r="J124">
        <f>(D124/B124*100)</f>
        <v>80.377358490566039</v>
      </c>
      <c r="K124">
        <f>(B124/F124*100)</f>
        <v>8.7731059609116743E-2</v>
      </c>
      <c r="L124" s="23" t="str" cm="1">
        <f t="array" ref="L124">_xlfn.IFS(I124&gt;5,"HIGH RISK",AND(I124&gt;=2,I124&lt;=5),"MODERATE RISK",I124&lt;2,"LOW RISK")</f>
        <v>LOW RISK</v>
      </c>
      <c r="M124" cm="1">
        <f t="array" ref="M124">_xlfn.IFS(L124="LOW RISK",1,L124="MODERATE RISK",2,L124="HIGH RISK",3)</f>
        <v>1</v>
      </c>
    </row>
    <row r="125" spans="1:13" ht="18" customHeight="1" x14ac:dyDescent="0.35">
      <c r="A125" s="7" t="s">
        <v>89</v>
      </c>
      <c r="B125" s="14">
        <v>246286</v>
      </c>
      <c r="C125" s="14">
        <v>35112</v>
      </c>
      <c r="D125" s="14">
        <v>198593</v>
      </c>
      <c r="E125" s="14">
        <v>12581</v>
      </c>
      <c r="F125" s="14">
        <v>60452568</v>
      </c>
      <c r="G125" s="7" t="s">
        <v>196</v>
      </c>
      <c r="H125" s="15">
        <v>43861</v>
      </c>
      <c r="I125">
        <f>(C125/B125*100)</f>
        <v>14.256595990027854</v>
      </c>
      <c r="J125">
        <f>(D125/B125*100)</f>
        <v>80.635115272488079</v>
      </c>
      <c r="K125">
        <f>(B125/F125*100)</f>
        <v>0.40740370202304726</v>
      </c>
      <c r="L125" s="23" t="str" cm="1">
        <f t="array" ref="L125">_xlfn.IFS(I125&gt;5,"HIGH RISK",AND(I125&gt;=2,I125&lt;=5),"MODERATE RISK",I125&lt;2,"LOW RISK")</f>
        <v>HIGH RISK</v>
      </c>
      <c r="M125" cm="1">
        <f t="array" ref="M125">_xlfn.IFS(L125="LOW RISK",1,L125="MODERATE RISK",2,L125="HIGH RISK",3)</f>
        <v>3</v>
      </c>
    </row>
    <row r="126" spans="1:13" ht="18" customHeight="1" x14ac:dyDescent="0.35">
      <c r="A126" s="7" t="s">
        <v>47</v>
      </c>
      <c r="B126" s="14">
        <v>4881</v>
      </c>
      <c r="C126" s="14">
        <v>139</v>
      </c>
      <c r="D126" s="14">
        <v>3936</v>
      </c>
      <c r="E126" s="14">
        <v>806</v>
      </c>
      <c r="F126" s="14">
        <v>4102577</v>
      </c>
      <c r="G126" s="7" t="s">
        <v>196</v>
      </c>
      <c r="H126" s="15">
        <v>43886</v>
      </c>
      <c r="I126">
        <f>(C126/B126*100)</f>
        <v>2.8477770948576113</v>
      </c>
      <c r="J126">
        <f>(D126/B126*100)</f>
        <v>80.639213275968032</v>
      </c>
      <c r="K126">
        <f>(B126/F126*100)</f>
        <v>0.11897400097548444</v>
      </c>
      <c r="L126" s="23" t="str" cm="1">
        <f t="array" ref="L126">_xlfn.IFS(I126&gt;5,"HIGH RISK",AND(I126&gt;=2,I126&lt;=5),"MODERATE RISK",I126&lt;2,"LOW RISK")</f>
        <v>MODERATE RISK</v>
      </c>
      <c r="M126" cm="1">
        <f t="array" ref="M126">_xlfn.IFS(L126="LOW RISK",1,L126="MODERATE RISK",2,L126="HIGH RISK",3)</f>
        <v>2</v>
      </c>
    </row>
    <row r="127" spans="1:13" ht="18" customHeight="1" x14ac:dyDescent="0.35">
      <c r="A127" s="6" t="s">
        <v>68</v>
      </c>
      <c r="B127" s="12">
        <v>1137</v>
      </c>
      <c r="C127" s="12">
        <v>16</v>
      </c>
      <c r="D127" s="12">
        <v>922</v>
      </c>
      <c r="E127" s="12">
        <v>199</v>
      </c>
      <c r="F127" s="12">
        <v>3988368</v>
      </c>
      <c r="G127" s="6" t="s">
        <v>195</v>
      </c>
      <c r="H127" s="13">
        <v>43887</v>
      </c>
      <c r="I127">
        <f>(C127/B127*100)</f>
        <v>1.4072119613016711</v>
      </c>
      <c r="J127">
        <f>(D127/B127*100)</f>
        <v>81.090589270008792</v>
      </c>
      <c r="K127">
        <f>(B127/F127*100)</f>
        <v>2.8507900976038319E-2</v>
      </c>
      <c r="L127" s="23" t="str" cm="1">
        <f t="array" ref="L127">_xlfn.IFS(I127&gt;5,"HIGH RISK",AND(I127&gt;=2,I127&lt;=5),"MODERATE RISK",I127&lt;2,"LOW RISK")</f>
        <v>LOW RISK</v>
      </c>
      <c r="M127" cm="1">
        <f t="array" ref="M127">_xlfn.IFS(L127="LOW RISK",1,L127="MODERATE RISK",2,L127="HIGH RISK",3)</f>
        <v>1</v>
      </c>
    </row>
    <row r="128" spans="1:13" ht="18" customHeight="1" x14ac:dyDescent="0.35">
      <c r="A128" s="7" t="s">
        <v>149</v>
      </c>
      <c r="B128" s="14">
        <v>268934</v>
      </c>
      <c r="C128" s="14">
        <v>2760</v>
      </c>
      <c r="D128" s="14">
        <v>222936</v>
      </c>
      <c r="E128" s="14">
        <v>43238</v>
      </c>
      <c r="F128" s="14">
        <v>34865919</v>
      </c>
      <c r="G128" s="7" t="s">
        <v>195</v>
      </c>
      <c r="H128" s="15">
        <v>43892</v>
      </c>
      <c r="I128">
        <f>(C128/B128*100)</f>
        <v>1.0262741044271086</v>
      </c>
      <c r="J128">
        <f>(D128/B128*100)</f>
        <v>82.89617526976879</v>
      </c>
      <c r="K128">
        <f>(B128/F128*100)</f>
        <v>0.77133776396371478</v>
      </c>
      <c r="L128" s="23" t="str" cm="1">
        <f t="array" ref="L128">_xlfn.IFS(I128&gt;5,"HIGH RISK",AND(I128&gt;=2,I128&lt;=5),"MODERATE RISK",I128&lt;2,"LOW RISK")</f>
        <v>LOW RISK</v>
      </c>
      <c r="M128" cm="1">
        <f t="array" ref="M128">_xlfn.IFS(L128="LOW RISK",1,L128="MODERATE RISK",2,L128="HIGH RISK",3)</f>
        <v>1</v>
      </c>
    </row>
    <row r="129" spans="1:13" ht="18" customHeight="1" x14ac:dyDescent="0.35">
      <c r="A129" s="6" t="s">
        <v>156</v>
      </c>
      <c r="B129" s="12">
        <v>2087</v>
      </c>
      <c r="C129" s="12">
        <v>116</v>
      </c>
      <c r="D129" s="12">
        <v>1733</v>
      </c>
      <c r="E129" s="12">
        <v>238</v>
      </c>
      <c r="F129" s="12">
        <v>2078968</v>
      </c>
      <c r="G129" s="6" t="s">
        <v>196</v>
      </c>
      <c r="H129" s="13">
        <v>43894</v>
      </c>
      <c r="I129">
        <f>(C129/B129*100)</f>
        <v>5.5582175371346434</v>
      </c>
      <c r="J129">
        <f>(D129/B129*100)</f>
        <v>83.037853378054621</v>
      </c>
      <c r="K129">
        <f>(B129/F129*100)</f>
        <v>0.10038634553297598</v>
      </c>
      <c r="L129" s="23" t="str" cm="1">
        <f t="array" ref="L129">_xlfn.IFS(I129&gt;5,"HIGH RISK",AND(I129&gt;=2,I129&lt;=5),"MODERATE RISK",I129&lt;2,"LOW RISK")</f>
        <v>HIGH RISK</v>
      </c>
      <c r="M129" cm="1">
        <f t="array" ref="M129">_xlfn.IFS(L129="LOW RISK",1,L129="MODERATE RISK",2,L129="HIGH RISK",3)</f>
        <v>3</v>
      </c>
    </row>
    <row r="130" spans="1:13" ht="18" customHeight="1" x14ac:dyDescent="0.35">
      <c r="A130" s="7" t="s">
        <v>168</v>
      </c>
      <c r="B130" s="14">
        <v>7235</v>
      </c>
      <c r="C130" s="14">
        <v>60</v>
      </c>
      <c r="D130" s="14">
        <v>6028</v>
      </c>
      <c r="E130" s="14">
        <v>1147</v>
      </c>
      <c r="F130" s="14">
        <v>9557468</v>
      </c>
      <c r="G130" s="7" t="s">
        <v>195</v>
      </c>
      <c r="H130" s="15">
        <v>43951</v>
      </c>
      <c r="I130">
        <f>(C130/B130*100)</f>
        <v>0.82930200414651001</v>
      </c>
      <c r="J130">
        <f>(D130/B130*100)</f>
        <v>83.317208016586036</v>
      </c>
      <c r="K130">
        <f>(B130/F130*100)</f>
        <v>7.5699965723139223E-2</v>
      </c>
      <c r="L130" s="23" t="str" cm="1">
        <f t="array" ref="L130">_xlfn.IFS(I130&gt;5,"HIGH RISK",AND(I130&gt;=2,I130&lt;=5),"MODERATE RISK",I130&lt;2,"LOW RISK")</f>
        <v>LOW RISK</v>
      </c>
      <c r="M130" cm="1">
        <f t="array" ref="M130">_xlfn.IFS(L130="LOW RISK",1,L130="MODERATE RISK",2,L130="HIGH RISK",3)</f>
        <v>1</v>
      </c>
    </row>
    <row r="131" spans="1:13" ht="18" customHeight="1" x14ac:dyDescent="0.35">
      <c r="A131" s="7" t="s">
        <v>191</v>
      </c>
      <c r="B131" s="14">
        <v>350</v>
      </c>
      <c r="C131" s="14">
        <v>6</v>
      </c>
      <c r="D131" s="14">
        <v>292</v>
      </c>
      <c r="E131" s="14">
        <v>52</v>
      </c>
      <c r="F131" s="14">
        <v>54446389</v>
      </c>
      <c r="G131" s="7" t="s">
        <v>195</v>
      </c>
      <c r="H131" s="15">
        <v>43913</v>
      </c>
      <c r="I131">
        <f>(C131/B131*100)</f>
        <v>1.7142857142857144</v>
      </c>
      <c r="J131">
        <f>(D131/B131*100)</f>
        <v>83.428571428571431</v>
      </c>
      <c r="K131">
        <f>(B131/F131*100)</f>
        <v>6.4283418318155131E-4</v>
      </c>
      <c r="L131" s="23" t="str" cm="1">
        <f t="array" ref="L131">_xlfn.IFS(I131&gt;5,"HIGH RISK",AND(I131&gt;=2,I131&lt;=5),"MODERATE RISK",I131&lt;2,"LOW RISK")</f>
        <v>LOW RISK</v>
      </c>
      <c r="M131" cm="1">
        <f t="array" ref="M131">_xlfn.IFS(L131="LOW RISK",1,L131="MODERATE RISK",2,L131="HIGH RISK",3)</f>
        <v>1</v>
      </c>
    </row>
    <row r="132" spans="1:13" ht="18" customHeight="1" x14ac:dyDescent="0.35">
      <c r="A132" s="6" t="s">
        <v>90</v>
      </c>
      <c r="B132" s="12">
        <v>853</v>
      </c>
      <c r="C132" s="12">
        <v>10</v>
      </c>
      <c r="D132" s="12">
        <v>714</v>
      </c>
      <c r="E132" s="12">
        <v>129</v>
      </c>
      <c r="F132" s="12">
        <v>2962478</v>
      </c>
      <c r="G132" s="6" t="s">
        <v>198</v>
      </c>
      <c r="H132" s="13">
        <v>43900</v>
      </c>
      <c r="I132">
        <f>(C132/B132*100)</f>
        <v>1.1723329425556859</v>
      </c>
      <c r="J132">
        <f>(D132/B132*100)</f>
        <v>83.704572098475978</v>
      </c>
      <c r="K132">
        <f>(B132/F132*100)</f>
        <v>2.8793462770018881E-2</v>
      </c>
      <c r="L132" s="23" t="str" cm="1">
        <f t="array" ref="L132">_xlfn.IFS(I132&gt;5,"HIGH RISK",AND(I132&gt;=2,I132&lt;=5),"MODERATE RISK",I132&lt;2,"LOW RISK")</f>
        <v>LOW RISK</v>
      </c>
      <c r="M132" cm="1">
        <f t="array" ref="M132">_xlfn.IFS(L132="LOW RISK",1,L132="MODERATE RISK",2,L132="HIGH RISK",3)</f>
        <v>1</v>
      </c>
    </row>
    <row r="133" spans="1:13" ht="18" customHeight="1" x14ac:dyDescent="0.35">
      <c r="A133" s="6" t="s">
        <v>31</v>
      </c>
      <c r="B133" s="12">
        <v>1100</v>
      </c>
      <c r="C133" s="12">
        <v>53</v>
      </c>
      <c r="D133" s="12">
        <v>926</v>
      </c>
      <c r="E133" s="12">
        <v>121</v>
      </c>
      <c r="F133" s="12">
        <v>20954852</v>
      </c>
      <c r="G133" s="6" t="s">
        <v>197</v>
      </c>
      <c r="H133" s="13">
        <v>43899</v>
      </c>
      <c r="I133">
        <f>(C133/B133*100)</f>
        <v>4.8181818181818183</v>
      </c>
      <c r="J133">
        <f>(D133/B133*100)</f>
        <v>84.181818181818187</v>
      </c>
      <c r="K133">
        <f>(B133/F133*100)</f>
        <v>5.2493809071044737E-3</v>
      </c>
      <c r="L133" s="23" t="str" cm="1">
        <f t="array" ref="L133">_xlfn.IFS(I133&gt;5,"HIGH RISK",AND(I133&gt;=2,I133&lt;=5),"MODERATE RISK",I133&lt;2,"LOW RISK")</f>
        <v>MODERATE RISK</v>
      </c>
      <c r="M133" cm="1">
        <f t="array" ref="M133">_xlfn.IFS(L133="LOW RISK",1,L133="MODERATE RISK",2,L133="HIGH RISK",3)</f>
        <v>2</v>
      </c>
    </row>
    <row r="134" spans="1:13" ht="18" customHeight="1" x14ac:dyDescent="0.35">
      <c r="A134" s="7" t="s">
        <v>184</v>
      </c>
      <c r="B134" s="14">
        <v>431</v>
      </c>
      <c r="C134" s="14">
        <v>0</v>
      </c>
      <c r="D134" s="14">
        <v>365</v>
      </c>
      <c r="E134" s="14">
        <v>66</v>
      </c>
      <c r="F134" s="14">
        <v>97425470</v>
      </c>
      <c r="G134" s="7" t="s">
        <v>195</v>
      </c>
      <c r="H134" s="15">
        <v>43853</v>
      </c>
      <c r="I134">
        <f>(C134/B134*100)</f>
        <v>0</v>
      </c>
      <c r="J134">
        <f>(D134/B134*100)</f>
        <v>84.686774941995353</v>
      </c>
      <c r="K134">
        <f>(B134/F134*100)</f>
        <v>4.4238944908348921E-4</v>
      </c>
      <c r="L134" s="23" t="str" cm="1">
        <f t="array" ref="L134">_xlfn.IFS(I134&gt;5,"HIGH RISK",AND(I134&gt;=2,I134&lt;=5),"MODERATE RISK",I134&lt;2,"LOW RISK")</f>
        <v>LOW RISK</v>
      </c>
      <c r="M134" cm="1">
        <f t="array" ref="M134">_xlfn.IFS(L134="LOW RISK",1,L134="MODERATE RISK",2,L134="HIGH RISK",3)</f>
        <v>1</v>
      </c>
    </row>
    <row r="135" spans="1:13" ht="18" customHeight="1" x14ac:dyDescent="0.35">
      <c r="A135" s="6" t="s">
        <v>148</v>
      </c>
      <c r="B135" s="12">
        <v>865</v>
      </c>
      <c r="C135" s="12">
        <v>14</v>
      </c>
      <c r="D135" s="12">
        <v>734</v>
      </c>
      <c r="E135" s="12">
        <v>117</v>
      </c>
      <c r="F135" s="12">
        <v>219544</v>
      </c>
      <c r="G135" s="6" t="s">
        <v>197</v>
      </c>
      <c r="H135" s="13">
        <v>43927</v>
      </c>
      <c r="I135">
        <f>(C135/B135*100)</f>
        <v>1.6184971098265895</v>
      </c>
      <c r="J135">
        <f>(D135/B135*100)</f>
        <v>84.855491329479776</v>
      </c>
      <c r="K135">
        <f>(B135/F135*100)</f>
        <v>0.39399846955507783</v>
      </c>
      <c r="L135" s="23" t="str" cm="1">
        <f t="array" ref="L135">_xlfn.IFS(I135&gt;5,"HIGH RISK",AND(I135&gt;=2,I135&lt;=5),"MODERATE RISK",I135&lt;2,"LOW RISK")</f>
        <v>LOW RISK</v>
      </c>
      <c r="M135" cm="1">
        <f t="array" ref="M135">_xlfn.IFS(L135="LOW RISK",1,L135="MODERATE RISK",2,L135="HIGH RISK",3)</f>
        <v>1</v>
      </c>
    </row>
    <row r="136" spans="1:13" ht="18" customHeight="1" x14ac:dyDescent="0.35">
      <c r="A136" s="7" t="s">
        <v>35</v>
      </c>
      <c r="B136" s="14">
        <v>17110</v>
      </c>
      <c r="C136" s="14">
        <v>391</v>
      </c>
      <c r="D136" s="14">
        <v>14539</v>
      </c>
      <c r="E136" s="14">
        <v>2180</v>
      </c>
      <c r="F136" s="14">
        <v>26606188</v>
      </c>
      <c r="G136" s="7" t="s">
        <v>197</v>
      </c>
      <c r="H136" s="15">
        <v>43896</v>
      </c>
      <c r="I136">
        <f>(C136/B136*100)</f>
        <v>2.2852133255406195</v>
      </c>
      <c r="J136">
        <f>(D136/B136*100)</f>
        <v>84.973699590882518</v>
      </c>
      <c r="K136">
        <f>(B136/F136*100)</f>
        <v>6.4308348118114478E-2</v>
      </c>
      <c r="L136" s="23" t="str" cm="1">
        <f t="array" ref="L136">_xlfn.IFS(I136&gt;5,"HIGH RISK",AND(I136&gt;=2,I136&lt;=5),"MODERATE RISK",I136&lt;2,"LOW RISK")</f>
        <v>MODERATE RISK</v>
      </c>
      <c r="M136" cm="1">
        <f t="array" ref="M136">_xlfn.IFS(L136="LOW RISK",1,L136="MODERATE RISK",2,L136="HIGH RISK",3)</f>
        <v>2</v>
      </c>
    </row>
    <row r="137" spans="1:13" ht="18" customHeight="1" x14ac:dyDescent="0.35">
      <c r="A137" s="6" t="s">
        <v>19</v>
      </c>
      <c r="B137" s="12">
        <v>110</v>
      </c>
      <c r="C137" s="12">
        <v>7</v>
      </c>
      <c r="D137" s="12">
        <v>94</v>
      </c>
      <c r="E137" s="12">
        <v>9</v>
      </c>
      <c r="F137" s="12">
        <v>287411</v>
      </c>
      <c r="G137" s="6" t="s">
        <v>198</v>
      </c>
      <c r="H137" s="13">
        <v>43907</v>
      </c>
      <c r="I137">
        <f>(C137/B137*100)</f>
        <v>6.3636363636363633</v>
      </c>
      <c r="J137">
        <f>(D137/B137*100)</f>
        <v>85.454545454545453</v>
      </c>
      <c r="K137">
        <f>(B137/F137*100)</f>
        <v>3.8272717467320319E-2</v>
      </c>
      <c r="L137" s="23" t="str" cm="1">
        <f t="array" ref="L137">_xlfn.IFS(I137&gt;5,"HIGH RISK",AND(I137&gt;=2,I137&lt;=5),"MODERATE RISK",I137&lt;2,"LOW RISK")</f>
        <v>HIGH RISK</v>
      </c>
      <c r="M137" cm="1">
        <f t="array" ref="M137">_xlfn.IFS(L137="LOW RISK",1,L137="MODERATE RISK",2,L137="HIGH RISK",3)</f>
        <v>3</v>
      </c>
    </row>
    <row r="138" spans="1:13" ht="18" customHeight="1" x14ac:dyDescent="0.35">
      <c r="A138" s="6" t="s">
        <v>96</v>
      </c>
      <c r="B138" s="12">
        <v>64379</v>
      </c>
      <c r="C138" s="12">
        <v>438</v>
      </c>
      <c r="D138" s="12">
        <v>55057</v>
      </c>
      <c r="E138" s="12">
        <v>8884</v>
      </c>
      <c r="F138" s="12">
        <v>4276658</v>
      </c>
      <c r="G138" s="6" t="s">
        <v>195</v>
      </c>
      <c r="H138" s="13">
        <v>43885</v>
      </c>
      <c r="I138">
        <f>(C138/B138*100)</f>
        <v>0.68034607558365301</v>
      </c>
      <c r="J138">
        <f>(D138/B138*100)</f>
        <v>85.520123021482163</v>
      </c>
      <c r="K138">
        <f>(B138/F138*100)</f>
        <v>1.5053576881761412</v>
      </c>
      <c r="L138" s="23" t="str" cm="1">
        <f t="array" ref="L138">_xlfn.IFS(I138&gt;5,"HIGH RISK",AND(I138&gt;=2,I138&lt;=5),"MODERATE RISK",I138&lt;2,"LOW RISK")</f>
        <v>LOW RISK</v>
      </c>
      <c r="M138" cm="1">
        <f t="array" ref="M138">_xlfn.IFS(L138="LOW RISK",1,L138="MODERATE RISK",2,L138="HIGH RISK",3)</f>
        <v>1</v>
      </c>
    </row>
    <row r="139" spans="1:13" ht="18" customHeight="1" x14ac:dyDescent="0.35">
      <c r="A139" s="7" t="s">
        <v>99</v>
      </c>
      <c r="B139" s="14">
        <v>1219</v>
      </c>
      <c r="C139" s="14">
        <v>31</v>
      </c>
      <c r="D139" s="14">
        <v>1045</v>
      </c>
      <c r="E139" s="14">
        <v>143</v>
      </c>
      <c r="F139" s="14">
        <v>1883936</v>
      </c>
      <c r="G139" s="7" t="s">
        <v>196</v>
      </c>
      <c r="H139" s="15">
        <v>43892</v>
      </c>
      <c r="I139">
        <f>(C139/B139*100)</f>
        <v>2.5430680885972108</v>
      </c>
      <c r="J139">
        <f>(D139/B139*100)</f>
        <v>85.726004922067261</v>
      </c>
      <c r="K139">
        <f>(B139/F139*100)</f>
        <v>6.47049581302125E-2</v>
      </c>
      <c r="L139" s="23" t="str" cm="1">
        <f t="array" ref="L139">_xlfn.IFS(I139&gt;5,"HIGH RISK",AND(I139&gt;=2,I139&lt;=5),"MODERATE RISK",I139&lt;2,"LOW RISK")</f>
        <v>MODERATE RISK</v>
      </c>
      <c r="M139" cm="1">
        <f t="array" ref="M139">_xlfn.IFS(L139="LOW RISK",1,L139="MODERATE RISK",2,L139="HIGH RISK",3)</f>
        <v>2</v>
      </c>
    </row>
    <row r="140" spans="1:13" ht="18" customHeight="1" x14ac:dyDescent="0.35">
      <c r="A140" s="6" t="s">
        <v>173</v>
      </c>
      <c r="B140" s="12">
        <v>148</v>
      </c>
      <c r="C140" s="12">
        <v>8</v>
      </c>
      <c r="D140" s="12">
        <v>128</v>
      </c>
      <c r="E140" s="12">
        <v>12</v>
      </c>
      <c r="F140" s="12">
        <v>1399950</v>
      </c>
      <c r="G140" s="6" t="s">
        <v>198</v>
      </c>
      <c r="H140" s="13">
        <v>43902</v>
      </c>
      <c r="I140">
        <f>(C140/B140*100)</f>
        <v>5.4054054054054053</v>
      </c>
      <c r="J140">
        <f>(D140/B140*100)</f>
        <v>86.486486486486484</v>
      </c>
      <c r="K140">
        <f>(B140/F140*100)</f>
        <v>1.0571806135933426E-2</v>
      </c>
      <c r="L140" s="23" t="str" cm="1">
        <f t="array" ref="L140">_xlfn.IFS(I140&gt;5,"HIGH RISK",AND(I140&gt;=2,I140&lt;=5),"MODERATE RISK",I140&lt;2,"LOW RISK")</f>
        <v>HIGH RISK</v>
      </c>
      <c r="M140" cm="1">
        <f t="array" ref="M140">_xlfn.IFS(L140="LOW RISK",1,L140="MODERATE RISK",2,L140="HIGH RISK",3)</f>
        <v>3</v>
      </c>
    </row>
    <row r="141" spans="1:13" ht="18" customHeight="1" x14ac:dyDescent="0.35">
      <c r="A141" s="7" t="s">
        <v>24</v>
      </c>
      <c r="B141" s="14">
        <v>99</v>
      </c>
      <c r="C141" s="14">
        <v>0</v>
      </c>
      <c r="D141" s="14">
        <v>86</v>
      </c>
      <c r="E141" s="14">
        <v>13</v>
      </c>
      <c r="F141" s="14">
        <v>772443</v>
      </c>
      <c r="G141" s="7" t="s">
        <v>195</v>
      </c>
      <c r="H141" s="15">
        <v>43896</v>
      </c>
      <c r="I141">
        <f>(C141/B141*100)</f>
        <v>0</v>
      </c>
      <c r="J141">
        <f>(D141/B141*100)</f>
        <v>86.868686868686879</v>
      </c>
      <c r="K141">
        <f>(B141/F141*100)</f>
        <v>1.2816479662577046E-2</v>
      </c>
      <c r="L141" s="23" t="str" cm="1">
        <f t="array" ref="L141">_xlfn.IFS(I141&gt;5,"HIGH RISK",AND(I141&gt;=2,I141&lt;=5),"MODERATE RISK",I141&lt;2,"LOW RISK")</f>
        <v>LOW RISK</v>
      </c>
      <c r="M141" cm="1">
        <f t="array" ref="M141">_xlfn.IFS(L141="LOW RISK",1,L141="MODERATE RISK",2,L141="HIGH RISK",3)</f>
        <v>1</v>
      </c>
    </row>
    <row r="142" spans="1:13" ht="18" customHeight="1" x14ac:dyDescent="0.35">
      <c r="A142" s="7" t="s">
        <v>85</v>
      </c>
      <c r="B142" s="14">
        <v>293606</v>
      </c>
      <c r="C142" s="14">
        <v>15912</v>
      </c>
      <c r="D142" s="14">
        <v>255144</v>
      </c>
      <c r="E142" s="14">
        <v>22550</v>
      </c>
      <c r="F142" s="14">
        <v>84097623</v>
      </c>
      <c r="G142" s="7" t="s">
        <v>195</v>
      </c>
      <c r="H142" s="15">
        <v>43880</v>
      </c>
      <c r="I142">
        <f>(C142/B142*100)</f>
        <v>5.4195077757266539</v>
      </c>
      <c r="J142">
        <f>(D142/B142*100)</f>
        <v>86.900131468702952</v>
      </c>
      <c r="K142">
        <f>(B142/F142*100)</f>
        <v>0.34912520654715773</v>
      </c>
      <c r="L142" s="23" t="str" cm="1">
        <f t="array" ref="L142">_xlfn.IFS(I142&gt;5,"HIGH RISK",AND(I142&gt;=2,I142&lt;=5),"MODERATE RISK",I142&lt;2,"LOW RISK")</f>
        <v>HIGH RISK</v>
      </c>
      <c r="M142" cm="1">
        <f t="array" ref="M142">_xlfn.IFS(L142="LOW RISK",1,L142="MODERATE RISK",2,L142="HIGH RISK",3)</f>
        <v>3</v>
      </c>
    </row>
    <row r="143" spans="1:13" ht="18" customHeight="1" x14ac:dyDescent="0.35">
      <c r="A143" s="6" t="s">
        <v>177</v>
      </c>
      <c r="B143" s="12">
        <v>1128</v>
      </c>
      <c r="C143" s="12">
        <v>2</v>
      </c>
      <c r="D143" s="12">
        <v>986</v>
      </c>
      <c r="E143" s="12">
        <v>140</v>
      </c>
      <c r="F143" s="12">
        <v>45867852</v>
      </c>
      <c r="G143" s="6" t="s">
        <v>197</v>
      </c>
      <c r="H143" s="13">
        <v>43912</v>
      </c>
      <c r="I143">
        <f>(C143/B143*100)</f>
        <v>0.1773049645390071</v>
      </c>
      <c r="J143">
        <f>(D143/B143*100)</f>
        <v>87.411347517730491</v>
      </c>
      <c r="K143">
        <f>(B143/F143*100)</f>
        <v>2.459238771416634E-3</v>
      </c>
      <c r="L143" s="23" t="str" cm="1">
        <f t="array" ref="L143">_xlfn.IFS(I143&gt;5,"HIGH RISK",AND(I143&gt;=2,I143&lt;=5),"MODERATE RISK",I143&lt;2,"LOW RISK")</f>
        <v>LOW RISK</v>
      </c>
      <c r="M143" cm="1">
        <f t="array" ref="M143">_xlfn.IFS(L143="LOW RISK",1,L143="MODERATE RISK",2,L143="HIGH RISK",3)</f>
        <v>1</v>
      </c>
    </row>
    <row r="144" spans="1:13" ht="18" customHeight="1" x14ac:dyDescent="0.35">
      <c r="A144" s="6" t="s">
        <v>38</v>
      </c>
      <c r="B144" s="12">
        <v>922</v>
      </c>
      <c r="C144" s="12">
        <v>75</v>
      </c>
      <c r="D144" s="12">
        <v>810</v>
      </c>
      <c r="E144" s="12">
        <v>37</v>
      </c>
      <c r="F144" s="16" t="s">
        <v>204</v>
      </c>
      <c r="G144" s="6" t="s">
        <v>197</v>
      </c>
      <c r="H144" s="13">
        <v>43909</v>
      </c>
      <c r="I144">
        <f>(C144/B144*100)</f>
        <v>8.1344902386117131</v>
      </c>
      <c r="J144">
        <f>(D144/B144*100)</f>
        <v>87.85249457700651</v>
      </c>
      <c r="K144" t="e">
        <f>(B144/F144*100)</f>
        <v>#VALUE!</v>
      </c>
      <c r="L144" s="23" t="str" cm="1">
        <f t="array" ref="L144">_xlfn.IFS(I144&gt;5,"HIGH RISK",AND(I144&gt;=2,I144&lt;=5),"MODERATE RISK",I144&lt;2,"LOW RISK")</f>
        <v>HIGH RISK</v>
      </c>
      <c r="M144" cm="1">
        <f t="array" ref="M144">_xlfn.IFS(L144="LOW RISK",1,L144="MODERATE RISK",2,L144="HIGH RISK",3)</f>
        <v>3</v>
      </c>
    </row>
    <row r="145" spans="1:13" ht="18" customHeight="1" x14ac:dyDescent="0.35">
      <c r="A145" s="6" t="s">
        <v>132</v>
      </c>
      <c r="B145" s="12">
        <v>274289</v>
      </c>
      <c r="C145" s="12">
        <v>5842</v>
      </c>
      <c r="D145" s="12">
        <v>241026</v>
      </c>
      <c r="E145" s="12">
        <v>27421</v>
      </c>
      <c r="F145" s="12">
        <v>221295851</v>
      </c>
      <c r="G145" s="6" t="s">
        <v>195</v>
      </c>
      <c r="H145" s="13">
        <v>43887</v>
      </c>
      <c r="I145">
        <f>(C145/B145*100)</f>
        <v>2.1298703192618005</v>
      </c>
      <c r="J145">
        <f>(D145/B145*100)</f>
        <v>87.873009854569446</v>
      </c>
      <c r="K145">
        <f>(B145/F145*100)</f>
        <v>0.12394674313166405</v>
      </c>
      <c r="L145" s="23" t="str" cm="1">
        <f t="array" ref="L145">_xlfn.IFS(I145&gt;5,"HIGH RISK",AND(I145&gt;=2,I145&lt;=5),"MODERATE RISK",I145&lt;2,"LOW RISK")</f>
        <v>MODERATE RISK</v>
      </c>
      <c r="M145" cm="1">
        <f t="array" ref="M145">_xlfn.IFS(L145="LOW RISK",1,L145="MODERATE RISK",2,L145="HIGH RISK",3)</f>
        <v>2</v>
      </c>
    </row>
    <row r="146" spans="1:13" ht="18" customHeight="1" x14ac:dyDescent="0.35">
      <c r="A146" s="6" t="s">
        <v>144</v>
      </c>
      <c r="B146" s="12">
        <v>17</v>
      </c>
      <c r="C146" s="12">
        <v>0</v>
      </c>
      <c r="D146" s="12">
        <v>15</v>
      </c>
      <c r="E146" s="12">
        <v>2</v>
      </c>
      <c r="F146" s="12">
        <v>53237</v>
      </c>
      <c r="G146" s="6" t="s">
        <v>198</v>
      </c>
      <c r="H146" s="13">
        <v>43914</v>
      </c>
      <c r="I146">
        <f>(C146/B146*100)</f>
        <v>0</v>
      </c>
      <c r="J146">
        <f>(D146/B146*100)</f>
        <v>88.235294117647058</v>
      </c>
      <c r="K146">
        <f>(B146/F146*100)</f>
        <v>3.1932678400360653E-2</v>
      </c>
      <c r="L146" s="23" t="str" cm="1">
        <f t="array" ref="L146">_xlfn.IFS(I146&gt;5,"HIGH RISK",AND(I146&gt;=2,I146&lt;=5),"MODERATE RISK",I146&lt;2,"LOW RISK")</f>
        <v>LOW RISK</v>
      </c>
      <c r="M146" cm="1">
        <f t="array" ref="M146">_xlfn.IFS(L146="LOW RISK",1,L146="MODERATE RISK",2,L146="HIGH RISK",3)</f>
        <v>1</v>
      </c>
    </row>
    <row r="147" spans="1:13" ht="18" customHeight="1" x14ac:dyDescent="0.35">
      <c r="A147" s="6" t="s">
        <v>92</v>
      </c>
      <c r="B147" s="12">
        <v>1176</v>
      </c>
      <c r="C147" s="12">
        <v>11</v>
      </c>
      <c r="D147" s="12">
        <v>1041</v>
      </c>
      <c r="E147" s="12">
        <v>124</v>
      </c>
      <c r="F147" s="12">
        <v>10213138</v>
      </c>
      <c r="G147" s="6" t="s">
        <v>195</v>
      </c>
      <c r="H147" s="13">
        <v>43892</v>
      </c>
      <c r="I147">
        <f>(C147/B147*100)</f>
        <v>0.93537414965986398</v>
      </c>
      <c r="J147">
        <f>(D147/B147*100)</f>
        <v>88.520408163265301</v>
      </c>
      <c r="K147">
        <f>(B147/F147*100)</f>
        <v>1.1514580533426652E-2</v>
      </c>
      <c r="L147" s="23" t="str" cm="1">
        <f t="array" ref="L147">_xlfn.IFS(I147&gt;5,"HIGH RISK",AND(I147&gt;=2,I147&lt;=5),"MODERATE RISK",I147&lt;2,"LOW RISK")</f>
        <v>LOW RISK</v>
      </c>
      <c r="M147" cm="1">
        <f t="array" ref="M147">_xlfn.IFS(L147="LOW RISK",1,L147="MODERATE RISK",2,L147="HIGH RISK",3)</f>
        <v>1</v>
      </c>
    </row>
    <row r="148" spans="1:13" ht="18" customHeight="1" x14ac:dyDescent="0.35">
      <c r="A148" s="7" t="s">
        <v>8</v>
      </c>
      <c r="B148" s="14">
        <v>907</v>
      </c>
      <c r="C148" s="14">
        <v>52</v>
      </c>
      <c r="D148" s="14">
        <v>803</v>
      </c>
      <c r="E148" s="14">
        <v>52</v>
      </c>
      <c r="F148" s="14">
        <v>77278</v>
      </c>
      <c r="G148" s="7" t="s">
        <v>196</v>
      </c>
      <c r="H148" s="15">
        <v>43892</v>
      </c>
      <c r="I148">
        <f>(C148/B148*100)</f>
        <v>5.7331863285556786</v>
      </c>
      <c r="J148">
        <f>(D148/B148*100)</f>
        <v>88.53362734288865</v>
      </c>
      <c r="K148">
        <f>(B148/F148*100)</f>
        <v>1.1736846191671626</v>
      </c>
      <c r="L148" s="23" t="str" cm="1">
        <f t="array" ref="L148">_xlfn.IFS(I148&gt;5,"HIGH RISK",AND(I148&gt;=2,I148&lt;=5),"MODERATE RISK",I148&lt;2,"LOW RISK")</f>
        <v>HIGH RISK</v>
      </c>
      <c r="M148" cm="1">
        <f t="array" ref="M148">_xlfn.IFS(L148="LOW RISK",1,L148="MODERATE RISK",2,L148="HIGH RISK",3)</f>
        <v>3</v>
      </c>
    </row>
    <row r="149" spans="1:13" ht="18" customHeight="1" x14ac:dyDescent="0.35">
      <c r="A149" s="6" t="s">
        <v>70</v>
      </c>
      <c r="B149" s="12">
        <v>33624</v>
      </c>
      <c r="C149" s="12">
        <v>168</v>
      </c>
      <c r="D149" s="12">
        <v>29801</v>
      </c>
      <c r="E149" s="12">
        <v>3655</v>
      </c>
      <c r="F149" s="12">
        <v>31133483</v>
      </c>
      <c r="G149" s="6" t="s">
        <v>197</v>
      </c>
      <c r="H149" s="13">
        <v>43902</v>
      </c>
      <c r="I149">
        <f>(C149/B149*100)</f>
        <v>0.49964311206281231</v>
      </c>
      <c r="J149">
        <f>(D149/B149*100)</f>
        <v>88.630145134427778</v>
      </c>
      <c r="K149">
        <f>(B149/F149*100)</f>
        <v>0.10799948081620037</v>
      </c>
      <c r="L149" s="23" t="str" cm="1">
        <f t="array" ref="L149">_xlfn.IFS(I149&gt;5,"HIGH RISK",AND(I149&gt;=2,I149&lt;=5),"MODERATE RISK",I149&lt;2,"LOW RISK")</f>
        <v>LOW RISK</v>
      </c>
      <c r="M149" cm="1">
        <f t="array" ref="M149">_xlfn.IFS(L149="LOW RISK",1,L149="MODERATE RISK",2,L149="HIGH RISK",3)</f>
        <v>1</v>
      </c>
    </row>
    <row r="150" spans="1:13" ht="18" customHeight="1" x14ac:dyDescent="0.35">
      <c r="A150" s="7" t="s">
        <v>75</v>
      </c>
      <c r="B150" s="14">
        <v>7055</v>
      </c>
      <c r="C150" s="14">
        <v>45</v>
      </c>
      <c r="D150" s="14">
        <v>6257</v>
      </c>
      <c r="E150" s="14">
        <v>753</v>
      </c>
      <c r="F150" s="14">
        <v>13164905</v>
      </c>
      <c r="G150" s="7" t="s">
        <v>197</v>
      </c>
      <c r="H150" s="15">
        <v>43903</v>
      </c>
      <c r="I150">
        <f>(C150/B150*100)</f>
        <v>0.6378454996456413</v>
      </c>
      <c r="J150">
        <f>(D150/B150*100)</f>
        <v>88.6888731396173</v>
      </c>
      <c r="K150">
        <f>(B150/F150*100)</f>
        <v>5.358944861356766E-2</v>
      </c>
      <c r="L150" s="23" t="str" cm="1">
        <f t="array" ref="L150">_xlfn.IFS(I150&gt;5,"HIGH RISK",AND(I150&gt;=2,I150&lt;=5),"MODERATE RISK",I150&lt;2,"LOW RISK")</f>
        <v>LOW RISK</v>
      </c>
      <c r="M150" cm="1">
        <f t="array" ref="M150">_xlfn.IFS(L150="LOW RISK",1,L150="MODERATE RISK",2,L150="HIGH RISK",3)</f>
        <v>1</v>
      </c>
    </row>
    <row r="151" spans="1:13" ht="18" customHeight="1" x14ac:dyDescent="0.35">
      <c r="A151" s="6" t="s">
        <v>179</v>
      </c>
      <c r="B151" s="12">
        <v>59177</v>
      </c>
      <c r="C151" s="12">
        <v>345</v>
      </c>
      <c r="D151" s="12">
        <v>52510</v>
      </c>
      <c r="E151" s="12">
        <v>6322</v>
      </c>
      <c r="F151" s="12">
        <v>9902079</v>
      </c>
      <c r="G151" s="6" t="s">
        <v>195</v>
      </c>
      <c r="H151" s="13">
        <v>43859</v>
      </c>
      <c r="I151">
        <f>(C151/B151*100)</f>
        <v>0.5829967723946804</v>
      </c>
      <c r="J151">
        <f>(D151/B151*100)</f>
        <v>88.733798604187442</v>
      </c>
      <c r="K151">
        <f>(B151/F151*100)</f>
        <v>0.59762197413290685</v>
      </c>
      <c r="L151" s="23" t="str" cm="1">
        <f t="array" ref="L151">_xlfn.IFS(I151&gt;5,"HIGH RISK",AND(I151&gt;=2,I151&lt;=5),"MODERATE RISK",I151&lt;2,"LOW RISK")</f>
        <v>LOW RISK</v>
      </c>
      <c r="M151" cm="1">
        <f t="array" ref="M151">_xlfn.IFS(L151="LOW RISK",1,L151="MODERATE RISK",2,L151="HIGH RISK",3)</f>
        <v>1</v>
      </c>
    </row>
    <row r="152" spans="1:13" ht="18" customHeight="1" x14ac:dyDescent="0.35">
      <c r="A152" s="7" t="s">
        <v>14</v>
      </c>
      <c r="B152" s="14">
        <v>20558</v>
      </c>
      <c r="C152" s="14">
        <v>713</v>
      </c>
      <c r="D152" s="14">
        <v>18246</v>
      </c>
      <c r="E152" s="14">
        <v>1599</v>
      </c>
      <c r="F152" s="14">
        <v>9011577</v>
      </c>
      <c r="G152" s="7" t="s">
        <v>196</v>
      </c>
      <c r="H152" s="15">
        <v>43886</v>
      </c>
      <c r="I152">
        <f>(C152/B152*100)</f>
        <v>3.4682362097480302</v>
      </c>
      <c r="J152">
        <f>(D152/B152*100)</f>
        <v>88.753769821967126</v>
      </c>
      <c r="K152">
        <f>(B152/F152*100)</f>
        <v>0.22812877257776301</v>
      </c>
      <c r="L152" s="23" t="str" cm="1">
        <f t="array" ref="L152">_xlfn.IFS(I152&gt;5,"HIGH RISK",AND(I152&gt;=2,I152&lt;=5),"MODERATE RISK",I152&lt;2,"LOW RISK")</f>
        <v>MODERATE RISK</v>
      </c>
      <c r="M152" cm="1">
        <f t="array" ref="M152">_xlfn.IFS(L152="LOW RISK",1,L152="MODERATE RISK",2,L152="HIGH RISK",3)</f>
        <v>2</v>
      </c>
    </row>
    <row r="153" spans="1:13" ht="18" customHeight="1" x14ac:dyDescent="0.35">
      <c r="A153" s="6" t="s">
        <v>166</v>
      </c>
      <c r="B153" s="12">
        <v>34477</v>
      </c>
      <c r="C153" s="12">
        <v>1978</v>
      </c>
      <c r="D153" s="12">
        <v>30900</v>
      </c>
      <c r="E153" s="12">
        <v>1599</v>
      </c>
      <c r="F153" s="12">
        <v>8660952</v>
      </c>
      <c r="G153" s="6" t="s">
        <v>196</v>
      </c>
      <c r="H153" s="13">
        <v>43886</v>
      </c>
      <c r="I153">
        <f>(C153/B153*100)</f>
        <v>5.7371581054036023</v>
      </c>
      <c r="J153">
        <f>(D153/B153*100)</f>
        <v>89.624967369550717</v>
      </c>
      <c r="K153">
        <f>(B153/F153*100)</f>
        <v>0.39807402234765876</v>
      </c>
      <c r="L153" s="23" t="str" cm="1">
        <f t="array" ref="L153">_xlfn.IFS(I153&gt;5,"HIGH RISK",AND(I153&gt;=2,I153&lt;=5),"MODERATE RISK",I153&lt;2,"LOW RISK")</f>
        <v>HIGH RISK</v>
      </c>
      <c r="M153" cm="1">
        <f t="array" ref="M153">_xlfn.IFS(L153="LOW RISK",1,L153="MODERATE RISK",2,L153="HIGH RISK",3)</f>
        <v>3</v>
      </c>
    </row>
    <row r="154" spans="1:13" ht="18" customHeight="1" x14ac:dyDescent="0.35">
      <c r="A154" s="7" t="s">
        <v>117</v>
      </c>
      <c r="B154" s="14">
        <v>116</v>
      </c>
      <c r="C154" s="14">
        <v>4</v>
      </c>
      <c r="D154" s="14">
        <v>104</v>
      </c>
      <c r="E154" s="14">
        <v>8</v>
      </c>
      <c r="F154" s="14">
        <v>39270</v>
      </c>
      <c r="G154" s="7" t="s">
        <v>196</v>
      </c>
      <c r="H154" s="15">
        <v>43890</v>
      </c>
      <c r="I154">
        <f>(C154/B154*100)</f>
        <v>3.4482758620689653</v>
      </c>
      <c r="J154">
        <f>(D154/B154*100)</f>
        <v>89.65517241379311</v>
      </c>
      <c r="K154">
        <f>(B154/F154*100)</f>
        <v>0.29539088362617777</v>
      </c>
      <c r="L154" s="23" t="str" cm="1">
        <f t="array" ref="L154">_xlfn.IFS(I154&gt;5,"HIGH RISK",AND(I154&gt;=2,I154&lt;=5),"MODERATE RISK",I154&lt;2,"LOW RISK")</f>
        <v>MODERATE RISK</v>
      </c>
      <c r="M154" cm="1">
        <f t="array" ref="M154">_xlfn.IFS(L154="LOW RISK",1,L154="MODERATE RISK",2,L154="HIGH RISK",3)</f>
        <v>2</v>
      </c>
    </row>
    <row r="155" spans="1:13" ht="18" customHeight="1" x14ac:dyDescent="0.35">
      <c r="A155" s="6" t="s">
        <v>154</v>
      </c>
      <c r="B155" s="12">
        <v>50838</v>
      </c>
      <c r="C155" s="12">
        <v>27</v>
      </c>
      <c r="D155" s="12">
        <v>45692</v>
      </c>
      <c r="E155" s="12">
        <v>5119</v>
      </c>
      <c r="F155" s="12">
        <v>5854932</v>
      </c>
      <c r="G155" s="6" t="s">
        <v>195</v>
      </c>
      <c r="H155" s="13">
        <v>43853</v>
      </c>
      <c r="I155">
        <f>(C155/B155*100)</f>
        <v>5.3109878437389353E-2</v>
      </c>
      <c r="J155">
        <f>(D155/B155*100)</f>
        <v>89.877650576340528</v>
      </c>
      <c r="K155">
        <f>(B155/F155*100)</f>
        <v>0.86829360272672684</v>
      </c>
      <c r="L155" s="23" t="str" cm="1">
        <f t="array" ref="L155">_xlfn.IFS(I155&gt;5,"HIGH RISK",AND(I155&gt;=2,I155&lt;=5),"MODERATE RISK",I155&lt;2,"LOW RISK")</f>
        <v>LOW RISK</v>
      </c>
      <c r="M155" cm="1">
        <f t="array" ref="M155">_xlfn.IFS(L155="LOW RISK",1,L155="MODERATE RISK",2,L155="HIGH RISK",3)</f>
        <v>1</v>
      </c>
    </row>
    <row r="156" spans="1:13" ht="18" customHeight="1" x14ac:dyDescent="0.35">
      <c r="A156" s="7" t="s">
        <v>20</v>
      </c>
      <c r="B156" s="14">
        <v>67251</v>
      </c>
      <c r="C156" s="14">
        <v>538</v>
      </c>
      <c r="D156" s="14">
        <v>60492</v>
      </c>
      <c r="E156" s="14">
        <v>6221</v>
      </c>
      <c r="F156" s="14">
        <v>9449001</v>
      </c>
      <c r="G156" s="7" t="s">
        <v>196</v>
      </c>
      <c r="H156" s="15">
        <v>43889</v>
      </c>
      <c r="I156">
        <f>(C156/B156*100)</f>
        <v>0.79998810426610767</v>
      </c>
      <c r="J156">
        <f>(D156/B156*100)</f>
        <v>89.949591827630812</v>
      </c>
      <c r="K156">
        <f>(B156/F156*100)</f>
        <v>0.71172603326002404</v>
      </c>
      <c r="L156" s="23" t="str" cm="1">
        <f t="array" ref="L156">_xlfn.IFS(I156&gt;5,"HIGH RISK",AND(I156&gt;=2,I156&lt;=5),"MODERATE RISK",I156&lt;2,"LOW RISK")</f>
        <v>LOW RISK</v>
      </c>
      <c r="M156" cm="1">
        <f t="array" ref="M156">_xlfn.IFS(L156="LOW RISK",1,L156="MODERATE RISK",2,L156="HIGH RISK",3)</f>
        <v>1</v>
      </c>
    </row>
    <row r="157" spans="1:13" ht="18" customHeight="1" x14ac:dyDescent="0.35">
      <c r="A157" s="7" t="s">
        <v>87</v>
      </c>
      <c r="B157" s="14">
        <v>25892</v>
      </c>
      <c r="C157" s="14">
        <v>1764</v>
      </c>
      <c r="D157" s="14">
        <v>23364</v>
      </c>
      <c r="E157" s="14">
        <v>764</v>
      </c>
      <c r="F157" s="14">
        <v>4943200</v>
      </c>
      <c r="G157" s="7" t="s">
        <v>196</v>
      </c>
      <c r="H157" s="15">
        <v>43890</v>
      </c>
      <c r="I157">
        <f>(C157/B157*100)</f>
        <v>6.8129151861578858</v>
      </c>
      <c r="J157">
        <f>(D157/B157*100)</f>
        <v>90.236366445234054</v>
      </c>
      <c r="K157">
        <f>(B157/F157*100)</f>
        <v>0.5237902573231914</v>
      </c>
      <c r="L157" s="23" t="str" cm="1">
        <f t="array" ref="L157">_xlfn.IFS(I157&gt;5,"HIGH RISK",AND(I157&gt;=2,I157&lt;=5),"MODERATE RISK",I157&lt;2,"LOW RISK")</f>
        <v>HIGH RISK</v>
      </c>
      <c r="M157" cm="1">
        <f t="array" ref="M157">_xlfn.IFS(L157="LOW RISK",1,L157="MODERATE RISK",2,L157="HIGH RISK",3)</f>
        <v>3</v>
      </c>
    </row>
    <row r="158" spans="1:13" ht="18" customHeight="1" x14ac:dyDescent="0.35">
      <c r="A158" s="7" t="s">
        <v>127</v>
      </c>
      <c r="B158" s="14">
        <v>1132</v>
      </c>
      <c r="C158" s="14">
        <v>69</v>
      </c>
      <c r="D158" s="14">
        <v>1027</v>
      </c>
      <c r="E158" s="14">
        <v>36</v>
      </c>
      <c r="F158" s="14">
        <v>24281433</v>
      </c>
      <c r="G158" s="7" t="s">
        <v>197</v>
      </c>
      <c r="H158" s="15">
        <v>43909</v>
      </c>
      <c r="I158">
        <f>(C158/B158*100)</f>
        <v>6.0954063604240289</v>
      </c>
      <c r="J158">
        <f>(D158/B158*100)</f>
        <v>90.724381625441694</v>
      </c>
      <c r="K158">
        <f>(B158/F158*100)</f>
        <v>4.6619983260460778E-3</v>
      </c>
      <c r="L158" s="23" t="str" cm="1">
        <f t="array" ref="L158">_xlfn.IFS(I158&gt;5,"HIGH RISK",AND(I158&gt;=2,I158&lt;=5),"MODERATE RISK",I158&lt;2,"LOW RISK")</f>
        <v>HIGH RISK</v>
      </c>
      <c r="M158" cm="1">
        <f t="array" ref="M158">_xlfn.IFS(L158="LOW RISK",1,L158="MODERATE RISK",2,L158="HIGH RISK",3)</f>
        <v>3</v>
      </c>
    </row>
    <row r="159" spans="1:13" ht="18" customHeight="1" x14ac:dyDescent="0.35">
      <c r="A159" s="6" t="s">
        <v>40</v>
      </c>
      <c r="B159" s="12">
        <v>86783</v>
      </c>
      <c r="C159" s="12">
        <v>4656</v>
      </c>
      <c r="D159" s="12">
        <v>78869</v>
      </c>
      <c r="E159" s="12">
        <v>3258</v>
      </c>
      <c r="F159" s="16">
        <v>1411778724</v>
      </c>
      <c r="G159" s="6" t="s">
        <v>197</v>
      </c>
      <c r="H159" s="13">
        <v>43786</v>
      </c>
      <c r="I159">
        <f>(C159/B159*100)</f>
        <v>5.3651060691610111</v>
      </c>
      <c r="J159">
        <f>(D159/B159*100)</f>
        <v>90.880702441722462</v>
      </c>
      <c r="K159">
        <f>(B159/F159*100)</f>
        <v>6.1470681293536757E-3</v>
      </c>
      <c r="L159" s="23" t="str" cm="1">
        <f t="array" ref="L159">_xlfn.IFS(I159&gt;5,"HIGH RISK",AND(I159&gt;=2,I159&lt;=5),"MODERATE RISK",I159&lt;2,"LOW RISK")</f>
        <v>HIGH RISK</v>
      </c>
      <c r="M159" cm="1">
        <f t="array" ref="M159">_xlfn.IFS(L159="LOW RISK",1,L159="MODERATE RISK",2,L159="HIGH RISK",3)</f>
        <v>3</v>
      </c>
    </row>
    <row r="160" spans="1:13" ht="18" customHeight="1" x14ac:dyDescent="0.35">
      <c r="A160" s="6" t="s">
        <v>17</v>
      </c>
      <c r="B160" s="12">
        <v>39482</v>
      </c>
      <c r="C160" s="12">
        <v>141</v>
      </c>
      <c r="D160" s="12">
        <v>36110</v>
      </c>
      <c r="E160" s="12">
        <v>3231</v>
      </c>
      <c r="F160" s="12">
        <v>1706669</v>
      </c>
      <c r="G160" s="6" t="s">
        <v>195</v>
      </c>
      <c r="H160" s="13">
        <v>43882</v>
      </c>
      <c r="I160">
        <f>(C160/B160*100)</f>
        <v>0.35712476571602247</v>
      </c>
      <c r="J160">
        <f>(D160/B160*100)</f>
        <v>91.459399219897676</v>
      </c>
      <c r="K160">
        <f>(B160/F160*100)</f>
        <v>2.3133952746548978</v>
      </c>
      <c r="L160" s="23" t="str" cm="1">
        <f t="array" ref="L160">_xlfn.IFS(I160&gt;5,"HIGH RISK",AND(I160&gt;=2,I160&lt;=5),"MODERATE RISK",I160&lt;2,"LOW RISK")</f>
        <v>LOW RISK</v>
      </c>
      <c r="M160" cm="1">
        <f t="array" ref="M160">_xlfn.IFS(L160="LOW RISK",1,L160="MODERATE RISK",2,L160="HIGH RISK",3)</f>
        <v>1</v>
      </c>
    </row>
    <row r="161" spans="1:13" ht="18" customHeight="1" x14ac:dyDescent="0.35">
      <c r="A161" s="7" t="s">
        <v>159</v>
      </c>
      <c r="B161" s="14">
        <v>14203</v>
      </c>
      <c r="C161" s="14">
        <v>300</v>
      </c>
      <c r="D161" s="14">
        <v>13007</v>
      </c>
      <c r="E161" s="14">
        <v>896</v>
      </c>
      <c r="F161" s="14">
        <v>51273732</v>
      </c>
      <c r="G161" s="7" t="s">
        <v>195</v>
      </c>
      <c r="H161" s="15">
        <v>43850</v>
      </c>
      <c r="I161">
        <f>(C161/B161*100)</f>
        <v>2.1122298106033934</v>
      </c>
      <c r="J161">
        <f>(D161/B161*100)</f>
        <v>91.5792438217278</v>
      </c>
      <c r="K161">
        <f>(B161/F161*100)</f>
        <v>2.7700343715959665E-2</v>
      </c>
      <c r="L161" s="23" t="str" cm="1">
        <f t="array" ref="L161">_xlfn.IFS(I161&gt;5,"HIGH RISK",AND(I161&gt;=2,I161&lt;=5),"MODERATE RISK",I161&lt;2,"LOW RISK")</f>
        <v>MODERATE RISK</v>
      </c>
      <c r="M161" cm="1">
        <f t="array" ref="M161">_xlfn.IFS(L161="LOW RISK",1,L161="MODERATE RISK",2,L161="HIGH RISK",3)</f>
        <v>2</v>
      </c>
    </row>
    <row r="162" spans="1:13" ht="18" customHeight="1" x14ac:dyDescent="0.35">
      <c r="A162" s="7" t="s">
        <v>51</v>
      </c>
      <c r="B162" s="14">
        <v>13761</v>
      </c>
      <c r="C162" s="14">
        <v>613</v>
      </c>
      <c r="D162" s="14">
        <v>12605</v>
      </c>
      <c r="E162" s="14">
        <v>543</v>
      </c>
      <c r="F162" s="14">
        <v>5794279</v>
      </c>
      <c r="G162" s="7" t="s">
        <v>196</v>
      </c>
      <c r="H162" s="15">
        <v>43888</v>
      </c>
      <c r="I162">
        <f>(C162/B162*100)</f>
        <v>4.4546181236828719</v>
      </c>
      <c r="J162">
        <f>(D162/B162*100)</f>
        <v>91.599447714555623</v>
      </c>
      <c r="K162">
        <f>(B162/F162*100)</f>
        <v>0.23749287875160999</v>
      </c>
      <c r="L162" s="23" t="str" cm="1">
        <f t="array" ref="L162">_xlfn.IFS(I162&gt;5,"HIGH RISK",AND(I162&gt;=2,I162&lt;=5),"MODERATE RISK",I162&lt;2,"LOW RISK")</f>
        <v>MODERATE RISK</v>
      </c>
      <c r="M162" cm="1">
        <f t="array" ref="M162">_xlfn.IFS(L162="LOW RISK",1,L162="MODERATE RISK",2,L162="HIGH RISK",3)</f>
        <v>2</v>
      </c>
    </row>
    <row r="163" spans="1:13" ht="18" customHeight="1" x14ac:dyDescent="0.35">
      <c r="A163" s="7" t="s">
        <v>145</v>
      </c>
      <c r="B163" s="14">
        <v>24</v>
      </c>
      <c r="C163" s="14">
        <v>0</v>
      </c>
      <c r="D163" s="14">
        <v>22</v>
      </c>
      <c r="E163" s="14">
        <v>2</v>
      </c>
      <c r="F163" s="14">
        <v>183712</v>
      </c>
      <c r="G163" s="7" t="s">
        <v>198</v>
      </c>
      <c r="H163" s="15">
        <v>43903</v>
      </c>
      <c r="I163">
        <f>(C163/B163*100)</f>
        <v>0</v>
      </c>
      <c r="J163">
        <f>(D163/B163*100)</f>
        <v>91.666666666666657</v>
      </c>
      <c r="K163">
        <f>(B163/F163*100)</f>
        <v>1.306392614527086E-2</v>
      </c>
      <c r="L163" s="23" t="str" cm="1">
        <f t="array" ref="L163">_xlfn.IFS(I163&gt;5,"HIGH RISK",AND(I163&gt;=2,I163&lt;=5),"MODERATE RISK",I163&lt;2,"LOW RISK")</f>
        <v>LOW RISK</v>
      </c>
      <c r="M163" cm="1">
        <f t="array" ref="M163">_xlfn.IFS(L163="LOW RISK",1,L163="MODERATE RISK",2,L163="HIGH RISK",3)</f>
        <v>1</v>
      </c>
    </row>
    <row r="164" spans="1:13" ht="18" customHeight="1" x14ac:dyDescent="0.35">
      <c r="A164" s="7" t="s">
        <v>69</v>
      </c>
      <c r="B164" s="14">
        <v>207112</v>
      </c>
      <c r="C164" s="14">
        <v>9125</v>
      </c>
      <c r="D164" s="14">
        <v>190314</v>
      </c>
      <c r="E164" s="14">
        <v>7673</v>
      </c>
      <c r="F164" s="14">
        <v>83811260</v>
      </c>
      <c r="G164" s="7" t="s">
        <v>196</v>
      </c>
      <c r="H164" s="15">
        <v>43857</v>
      </c>
      <c r="I164">
        <f>(C164/B164*100)</f>
        <v>4.4058287303487962</v>
      </c>
      <c r="J164">
        <f>(D164/B164*100)</f>
        <v>91.889412491791873</v>
      </c>
      <c r="K164">
        <f>(B164/F164*100)</f>
        <v>0.24711715347078664</v>
      </c>
      <c r="L164" s="23" t="str" cm="1">
        <f t="array" ref="L164">_xlfn.IFS(I164&gt;5,"HIGH RISK",AND(I164&gt;=2,I164&lt;=5),"MODERATE RISK",I164&lt;2,"LOW RISK")</f>
        <v>MODERATE RISK</v>
      </c>
      <c r="M164" cm="1">
        <f t="array" ref="M164">_xlfn.IFS(L164="LOW RISK",1,L164="MODERATE RISK",2,L164="HIGH RISK",3)</f>
        <v>2</v>
      </c>
    </row>
    <row r="165" spans="1:13" ht="18" customHeight="1" x14ac:dyDescent="0.35">
      <c r="A165" s="7" t="s">
        <v>39</v>
      </c>
      <c r="B165" s="14">
        <v>347923</v>
      </c>
      <c r="C165" s="14">
        <v>9187</v>
      </c>
      <c r="D165" s="14">
        <v>319954</v>
      </c>
      <c r="E165" s="14">
        <v>18782</v>
      </c>
      <c r="F165" s="14">
        <v>19132514</v>
      </c>
      <c r="G165" s="7" t="s">
        <v>199</v>
      </c>
      <c r="H165" s="15">
        <v>43893</v>
      </c>
      <c r="I165">
        <f>(C165/B165*100)</f>
        <v>2.6405267832250239</v>
      </c>
      <c r="J165">
        <f>(D165/B165*100)</f>
        <v>91.961152323933746</v>
      </c>
      <c r="K165">
        <f>(B165/F165*100)</f>
        <v>1.8184907639424697</v>
      </c>
      <c r="L165" s="23" t="str" cm="1">
        <f t="array" ref="L165">_xlfn.IFS(I165&gt;5,"HIGH RISK",AND(I165&gt;=2,I165&lt;=5),"MODERATE RISK",I165&lt;2,"LOW RISK")</f>
        <v>MODERATE RISK</v>
      </c>
      <c r="M165" cm="1">
        <f t="array" ref="M165">_xlfn.IFS(L165="LOW RISK",1,L165="MODERATE RISK",2,L165="HIGH RISK",3)</f>
        <v>2</v>
      </c>
    </row>
    <row r="166" spans="1:13" ht="18" customHeight="1" x14ac:dyDescent="0.35">
      <c r="A166" s="6" t="s">
        <v>42</v>
      </c>
      <c r="B166" s="12">
        <v>354</v>
      </c>
      <c r="C166" s="12">
        <v>7</v>
      </c>
      <c r="D166" s="12">
        <v>328</v>
      </c>
      <c r="E166" s="12">
        <v>19</v>
      </c>
      <c r="F166" s="12">
        <v>871326</v>
      </c>
      <c r="G166" s="6" t="s">
        <v>197</v>
      </c>
      <c r="H166" s="13">
        <v>43951</v>
      </c>
      <c r="I166">
        <f>(C166/B166*100)</f>
        <v>1.977401129943503</v>
      </c>
      <c r="J166">
        <f>(D166/B166*100)</f>
        <v>92.655367231638422</v>
      </c>
      <c r="K166">
        <f>(B166/F166*100)</f>
        <v>4.0627732903643417E-2</v>
      </c>
      <c r="L166" s="23" t="str" cm="1">
        <f t="array" ref="L166">_xlfn.IFS(I166&gt;5,"HIGH RISK",AND(I166&gt;=2,I166&lt;=5),"MODERATE RISK",I166&lt;2,"LOW RISK")</f>
        <v>LOW RISK</v>
      </c>
      <c r="M166" cm="1">
        <f t="array" ref="M166">_xlfn.IFS(L166="LOW RISK",1,L166="MODERATE RISK",2,L166="HIGH RISK",3)</f>
        <v>1</v>
      </c>
    </row>
    <row r="167" spans="1:13" ht="18" customHeight="1" x14ac:dyDescent="0.35">
      <c r="A167" s="6" t="s">
        <v>175</v>
      </c>
      <c r="B167" s="12">
        <v>227019</v>
      </c>
      <c r="C167" s="12">
        <v>5630</v>
      </c>
      <c r="D167" s="12">
        <v>210469</v>
      </c>
      <c r="E167" s="12">
        <v>10920</v>
      </c>
      <c r="F167" s="12">
        <v>84428331</v>
      </c>
      <c r="G167" s="6" t="s">
        <v>195</v>
      </c>
      <c r="H167" s="13">
        <v>43901</v>
      </c>
      <c r="I167">
        <f>(C167/B167*100)</f>
        <v>2.4799686369863316</v>
      </c>
      <c r="J167">
        <f>(D167/B167*100)</f>
        <v>92.709861289143205</v>
      </c>
      <c r="K167">
        <f>(B167/F167*100)</f>
        <v>0.26888959820844971</v>
      </c>
      <c r="L167" s="23" t="str" cm="1">
        <f t="array" ref="L167">_xlfn.IFS(I167&gt;5,"HIGH RISK",AND(I167&gt;=2,I167&lt;=5),"MODERATE RISK",I167&lt;2,"LOW RISK")</f>
        <v>MODERATE RISK</v>
      </c>
      <c r="M167" cm="1">
        <f t="array" ref="M167">_xlfn.IFS(L167="LOW RISK",1,L167="MODERATE RISK",2,L167="HIGH RISK",3)</f>
        <v>2</v>
      </c>
    </row>
    <row r="168" spans="1:13" ht="18" customHeight="1" x14ac:dyDescent="0.35">
      <c r="A168" s="6" t="s">
        <v>48</v>
      </c>
      <c r="B168" s="12">
        <v>2532</v>
      </c>
      <c r="C168" s="12">
        <v>87</v>
      </c>
      <c r="D168" s="12">
        <v>2351</v>
      </c>
      <c r="E168" s="12">
        <v>94</v>
      </c>
      <c r="F168" s="12">
        <v>11325899</v>
      </c>
      <c r="G168" s="6" t="s">
        <v>198</v>
      </c>
      <c r="H168" s="13">
        <v>43901</v>
      </c>
      <c r="I168">
        <f>(C168/B168*100)</f>
        <v>3.4360189573459716</v>
      </c>
      <c r="J168">
        <f>(D168/B168*100)</f>
        <v>92.851500789889414</v>
      </c>
      <c r="K168">
        <f>(B168/F168*100)</f>
        <v>2.2355841244920162E-2</v>
      </c>
      <c r="L168" s="23" t="str" cm="1">
        <f t="array" ref="L168">_xlfn.IFS(I168&gt;5,"HIGH RISK",AND(I168&gt;=2,I168&lt;=5),"MODERATE RISK",I168&lt;2,"LOW RISK")</f>
        <v>MODERATE RISK</v>
      </c>
      <c r="M168" cm="1">
        <f t="array" ref="M168">_xlfn.IFS(L168="LOW RISK",1,L168="MODERATE RISK",2,L168="HIGH RISK",3)</f>
        <v>2</v>
      </c>
    </row>
    <row r="169" spans="1:13" ht="18" customHeight="1" x14ac:dyDescent="0.35">
      <c r="A169" s="6" t="s">
        <v>72</v>
      </c>
      <c r="B169" s="12">
        <v>14</v>
      </c>
      <c r="C169" s="12">
        <v>0</v>
      </c>
      <c r="D169" s="12">
        <v>13</v>
      </c>
      <c r="E169" s="12">
        <v>1</v>
      </c>
      <c r="F169" s="12">
        <v>56780</v>
      </c>
      <c r="G169" s="6" t="s">
        <v>198</v>
      </c>
      <c r="H169" s="13">
        <v>43898</v>
      </c>
      <c r="I169">
        <f>(C169/B169*100)</f>
        <v>0</v>
      </c>
      <c r="J169">
        <f>(D169/B169*100)</f>
        <v>92.857142857142861</v>
      </c>
      <c r="K169">
        <f>(B169/F169*100)</f>
        <v>2.4656569214512151E-2</v>
      </c>
      <c r="L169" s="23" t="str" cm="1">
        <f t="array" ref="L169">_xlfn.IFS(I169&gt;5,"HIGH RISK",AND(I169&gt;=2,I169&lt;=5),"MODERATE RISK",I169&lt;2,"LOW RISK")</f>
        <v>LOW RISK</v>
      </c>
      <c r="M169" cm="1">
        <f t="array" ref="M169">_xlfn.IFS(L169="LOW RISK",1,L169="MODERATE RISK",2,L169="HIGH RISK",3)</f>
        <v>1</v>
      </c>
    </row>
    <row r="170" spans="1:13" ht="18" customHeight="1" x14ac:dyDescent="0.35">
      <c r="A170" s="6" t="s">
        <v>64</v>
      </c>
      <c r="B170" s="12">
        <v>7398</v>
      </c>
      <c r="C170" s="12">
        <v>329</v>
      </c>
      <c r="D170" s="12">
        <v>6920</v>
      </c>
      <c r="E170" s="12">
        <v>149</v>
      </c>
      <c r="F170" s="12">
        <v>5541604</v>
      </c>
      <c r="G170" s="6" t="s">
        <v>196</v>
      </c>
      <c r="H170" s="13">
        <v>43887</v>
      </c>
      <c r="I170">
        <f>(C170/B170*100)</f>
        <v>4.4471478778048121</v>
      </c>
      <c r="J170">
        <f>(D170/B170*100)</f>
        <v>93.538794268721276</v>
      </c>
      <c r="K170">
        <f>(B170/F170*100)</f>
        <v>0.1334992540066017</v>
      </c>
      <c r="L170" s="23" t="str" cm="1">
        <f t="array" ref="L170">_xlfn.IFS(I170&gt;5,"HIGH RISK",AND(I170&gt;=2,I170&lt;=5),"MODERATE RISK",I170&lt;2,"LOW RISK")</f>
        <v>MODERATE RISK</v>
      </c>
      <c r="M170" cm="1">
        <f t="array" ref="M170">_xlfn.IFS(L170="LOW RISK",1,L170="MODERATE RISK",2,L170="HIGH RISK",3)</f>
        <v>2</v>
      </c>
    </row>
    <row r="171" spans="1:13" ht="18" customHeight="1" x14ac:dyDescent="0.35">
      <c r="A171" s="7" t="s">
        <v>147</v>
      </c>
      <c r="B171" s="14">
        <v>699</v>
      </c>
      <c r="C171" s="14">
        <v>42</v>
      </c>
      <c r="D171" s="14">
        <v>657</v>
      </c>
      <c r="E171" s="14">
        <v>0</v>
      </c>
      <c r="F171" s="14">
        <v>33938</v>
      </c>
      <c r="G171" s="7" t="s">
        <v>196</v>
      </c>
      <c r="H171" s="15">
        <v>43888</v>
      </c>
      <c r="I171">
        <f>(C171/B171*100)</f>
        <v>6.0085836909871242</v>
      </c>
      <c r="J171">
        <f>(D171/B171*100)</f>
        <v>93.991416309012877</v>
      </c>
      <c r="K171">
        <f>(B171/F171*100)</f>
        <v>2.0596381637102956</v>
      </c>
      <c r="L171" s="23" t="str" cm="1">
        <f t="array" ref="L171">_xlfn.IFS(I171&gt;5,"HIGH RISK",AND(I171&gt;=2,I171&lt;=5),"MODERATE RISK",I171&lt;2,"LOW RISK")</f>
        <v>HIGH RISK</v>
      </c>
      <c r="M171" cm="1">
        <f t="array" ref="M171">_xlfn.IFS(L171="LOW RISK",1,L171="MODERATE RISK",2,L171="HIGH RISK",3)</f>
        <v>3</v>
      </c>
    </row>
    <row r="172" spans="1:13" ht="18" customHeight="1" x14ac:dyDescent="0.35">
      <c r="A172" s="6" t="s">
        <v>104</v>
      </c>
      <c r="B172" s="12">
        <v>86</v>
      </c>
      <c r="C172" s="12">
        <v>1</v>
      </c>
      <c r="D172" s="12">
        <v>81</v>
      </c>
      <c r="E172" s="12">
        <v>4</v>
      </c>
      <c r="F172" s="12">
        <v>38139</v>
      </c>
      <c r="G172" s="6" t="s">
        <v>196</v>
      </c>
      <c r="H172" s="13">
        <v>43893</v>
      </c>
      <c r="I172">
        <f>(C172/B172*100)</f>
        <v>1.1627906976744187</v>
      </c>
      <c r="J172">
        <f>(D172/B172*100)</f>
        <v>94.186046511627907</v>
      </c>
      <c r="K172">
        <f>(B172/F172*100)</f>
        <v>0.22549096725136999</v>
      </c>
      <c r="L172" s="23" t="str" cm="1">
        <f t="array" ref="L172">_xlfn.IFS(I172&gt;5,"HIGH RISK",AND(I172&gt;=2,I172&lt;=5),"MODERATE RISK",I172&lt;2,"LOW RISK")</f>
        <v>LOW RISK</v>
      </c>
      <c r="M172" cm="1">
        <f t="array" ref="M172">_xlfn.IFS(L172="LOW RISK",1,L172="MODERATE RISK",2,L172="HIGH RISK",3)</f>
        <v>1</v>
      </c>
    </row>
    <row r="173" spans="1:13" ht="18" customHeight="1" x14ac:dyDescent="0.35">
      <c r="A173" s="7" t="s">
        <v>170</v>
      </c>
      <c r="B173" s="14">
        <v>3297</v>
      </c>
      <c r="C173" s="14">
        <v>58</v>
      </c>
      <c r="D173" s="14">
        <v>3111</v>
      </c>
      <c r="E173" s="14">
        <v>128</v>
      </c>
      <c r="F173" s="14">
        <v>69817894</v>
      </c>
      <c r="G173" s="7" t="s">
        <v>195</v>
      </c>
      <c r="H173" s="15">
        <v>43843</v>
      </c>
      <c r="I173">
        <f>(C173/B173*100)</f>
        <v>1.7591750075826509</v>
      </c>
      <c r="J173">
        <f>(D173/B173*100)</f>
        <v>94.358507734303913</v>
      </c>
      <c r="K173">
        <f>(B173/F173*100)</f>
        <v>4.7222850921283879E-3</v>
      </c>
      <c r="L173" s="23" t="str" cm="1">
        <f t="array" ref="L173">_xlfn.IFS(I173&gt;5,"HIGH RISK",AND(I173&gt;=2,I173&lt;=5),"MODERATE RISK",I173&lt;2,"LOW RISK")</f>
        <v>LOW RISK</v>
      </c>
      <c r="M173" cm="1">
        <f t="array" ref="M173">_xlfn.IFS(L173="LOW RISK",1,L173="MODERATE RISK",2,L173="HIGH RISK",3)</f>
        <v>1</v>
      </c>
    </row>
    <row r="174" spans="1:13" ht="18" customHeight="1" x14ac:dyDescent="0.35">
      <c r="A174" s="6" t="s">
        <v>60</v>
      </c>
      <c r="B174" s="12">
        <v>2034</v>
      </c>
      <c r="C174" s="12">
        <v>69</v>
      </c>
      <c r="D174" s="12">
        <v>1923</v>
      </c>
      <c r="E174" s="12">
        <v>42</v>
      </c>
      <c r="F174" s="12">
        <v>1326627</v>
      </c>
      <c r="G174" s="6" t="s">
        <v>196</v>
      </c>
      <c r="H174" s="13">
        <v>43888</v>
      </c>
      <c r="I174">
        <f>(C174/B174*100)</f>
        <v>3.3923303834808261</v>
      </c>
      <c r="J174">
        <f>(D174/B174*100)</f>
        <v>94.542772861356923</v>
      </c>
      <c r="K174">
        <f>(B174/F174*100)</f>
        <v>0.15332116714042457</v>
      </c>
      <c r="L174" s="23" t="str" cm="1">
        <f t="array" ref="L174">_xlfn.IFS(I174&gt;5,"HIGH RISK",AND(I174&gt;=2,I174&lt;=5),"MODERATE RISK",I174&lt;2,"LOW RISK")</f>
        <v>MODERATE RISK</v>
      </c>
      <c r="M174" cm="1">
        <f t="array" ref="M174">_xlfn.IFS(L174="LOW RISK",1,L174="MODERATE RISK",2,L174="HIGH RISK",3)</f>
        <v>2</v>
      </c>
    </row>
    <row r="175" spans="1:13" ht="18" customHeight="1" x14ac:dyDescent="0.35">
      <c r="A175" s="6" t="s">
        <v>112</v>
      </c>
      <c r="B175" s="12">
        <v>701</v>
      </c>
      <c r="C175" s="12">
        <v>9</v>
      </c>
      <c r="D175" s="12">
        <v>665</v>
      </c>
      <c r="E175" s="12">
        <v>27</v>
      </c>
      <c r="F175" s="12">
        <v>441663</v>
      </c>
      <c r="G175" s="6" t="s">
        <v>196</v>
      </c>
      <c r="H175" s="13">
        <v>43897</v>
      </c>
      <c r="I175">
        <f>(C175/B175*100)</f>
        <v>1.2838801711840229</v>
      </c>
      <c r="J175">
        <f>(D175/B175*100)</f>
        <v>94.864479315263907</v>
      </c>
      <c r="K175">
        <f>(B175/F175*100)</f>
        <v>0.15871829879342395</v>
      </c>
      <c r="L175" s="23" t="str" cm="1">
        <f t="array" ref="L175">_xlfn.IFS(I175&gt;5,"HIGH RISK",AND(I175&gt;=2,I175&lt;=5),"MODERATE RISK",I175&lt;2,"LOW RISK")</f>
        <v>LOW RISK</v>
      </c>
      <c r="M175" cm="1">
        <f t="array" ref="M175">_xlfn.IFS(L175="LOW RISK",1,L175="MODERATE RISK",2,L175="HIGH RISK",3)</f>
        <v>1</v>
      </c>
    </row>
    <row r="176" spans="1:13" ht="18" customHeight="1" x14ac:dyDescent="0.35">
      <c r="A176" s="6" t="s">
        <v>98</v>
      </c>
      <c r="B176" s="12">
        <v>20</v>
      </c>
      <c r="C176" s="12">
        <v>0</v>
      </c>
      <c r="D176" s="12">
        <v>19</v>
      </c>
      <c r="E176" s="12">
        <v>1</v>
      </c>
      <c r="F176" s="12">
        <v>7285750</v>
      </c>
      <c r="G176" s="6" t="s">
        <v>195</v>
      </c>
      <c r="H176" s="13">
        <v>43914</v>
      </c>
      <c r="I176">
        <f>(C176/B176*100)</f>
        <v>0</v>
      </c>
      <c r="J176">
        <f>(D176/B176*100)</f>
        <v>95</v>
      </c>
      <c r="K176">
        <f>(B176/F176*100)</f>
        <v>2.7450845829187116E-4</v>
      </c>
      <c r="L176" s="23" t="str" cm="1">
        <f t="array" ref="L176">_xlfn.IFS(I176&gt;5,"HIGH RISK",AND(I176&gt;=2,I176&lt;=5),"MODERATE RISK",I176&lt;2,"LOW RISK")</f>
        <v>LOW RISK</v>
      </c>
      <c r="M176" cm="1">
        <f t="array" ref="M176">_xlfn.IFS(L176="LOW RISK",1,L176="MODERATE RISK",2,L176="HIGH RISK",3)</f>
        <v>1</v>
      </c>
    </row>
    <row r="177" spans="1:13" ht="18" customHeight="1" x14ac:dyDescent="0.35">
      <c r="A177" s="6" t="s">
        <v>190</v>
      </c>
      <c r="B177" s="12">
        <v>462</v>
      </c>
      <c r="C177" s="12">
        <v>7</v>
      </c>
      <c r="D177" s="12">
        <v>440</v>
      </c>
      <c r="E177" s="12">
        <v>15</v>
      </c>
      <c r="F177" s="12">
        <v>23821199</v>
      </c>
      <c r="G177" s="6" t="s">
        <v>195</v>
      </c>
      <c r="H177" s="13">
        <v>43851</v>
      </c>
      <c r="I177">
        <f>(C177/B177*100)</f>
        <v>1.5151515151515151</v>
      </c>
      <c r="J177">
        <f>(D177/B177*100)</f>
        <v>95.238095238095227</v>
      </c>
      <c r="K177">
        <f>(B177/F177*100)</f>
        <v>1.9394489756791838E-3</v>
      </c>
      <c r="L177" s="23" t="str" cm="1">
        <f t="array" ref="L177">_xlfn.IFS(I177&gt;5,"HIGH RISK",AND(I177&gt;=2,I177&lt;=5),"MODERATE RISK",I177&lt;2,"LOW RISK")</f>
        <v>LOW RISK</v>
      </c>
      <c r="M177" cm="1">
        <f t="array" ref="M177">_xlfn.IFS(L177="LOW RISK",1,L177="MODERATE RISK",2,L177="HIGH RISK",3)</f>
        <v>1</v>
      </c>
    </row>
    <row r="178" spans="1:13" ht="18" customHeight="1" x14ac:dyDescent="0.35">
      <c r="A178" s="6" t="s">
        <v>130</v>
      </c>
      <c r="B178" s="12">
        <v>9132</v>
      </c>
      <c r="C178" s="12">
        <v>255</v>
      </c>
      <c r="D178" s="12">
        <v>8752</v>
      </c>
      <c r="E178" s="12">
        <v>125</v>
      </c>
      <c r="F178" s="12">
        <v>5425471</v>
      </c>
      <c r="G178" s="6" t="s">
        <v>196</v>
      </c>
      <c r="H178" s="13">
        <v>43887</v>
      </c>
      <c r="I178">
        <f>(C178/B178*100)</f>
        <v>2.7923784494086727</v>
      </c>
      <c r="J178">
        <f>(D178/B178*100)</f>
        <v>95.838808585194926</v>
      </c>
      <c r="K178">
        <f>(B178/F178*100)</f>
        <v>0.16831718389057834</v>
      </c>
      <c r="L178" s="23" t="str" cm="1">
        <f t="array" ref="L178">_xlfn.IFS(I178&gt;5,"HIGH RISK",AND(I178&gt;=2,I178&lt;=5),"MODERATE RISK",I178&lt;2,"LOW RISK")</f>
        <v>MODERATE RISK</v>
      </c>
      <c r="M178" cm="1">
        <f t="array" ref="M178">_xlfn.IFS(L178="LOW RISK",1,L178="MODERATE RISK",2,L178="HIGH RISK",3)</f>
        <v>2</v>
      </c>
    </row>
    <row r="179" spans="1:13" ht="18" customHeight="1" x14ac:dyDescent="0.35">
      <c r="A179" s="6" t="s">
        <v>114</v>
      </c>
      <c r="B179" s="12">
        <v>344</v>
      </c>
      <c r="C179" s="12">
        <v>10</v>
      </c>
      <c r="D179" s="12">
        <v>332</v>
      </c>
      <c r="E179" s="12">
        <v>2</v>
      </c>
      <c r="F179" s="12">
        <v>1271985</v>
      </c>
      <c r="G179" s="6" t="s">
        <v>197</v>
      </c>
      <c r="H179" s="13">
        <v>43908</v>
      </c>
      <c r="I179">
        <f>(C179/B179*100)</f>
        <v>2.9069767441860463</v>
      </c>
      <c r="J179">
        <f>(D179/B179*100)</f>
        <v>96.511627906976756</v>
      </c>
      <c r="K179">
        <f>(B179/F179*100)</f>
        <v>2.7044344076384549E-2</v>
      </c>
      <c r="L179" s="23" t="str" cm="1">
        <f t="array" ref="L179">_xlfn.IFS(I179&gt;5,"HIGH RISK",AND(I179&gt;=2,I179&lt;=5),"MODERATE RISK",I179&lt;2,"LOW RISK")</f>
        <v>MODERATE RISK</v>
      </c>
      <c r="M179" cm="1">
        <f t="array" ref="M179">_xlfn.IFS(L179="LOW RISK",1,L179="MODERATE RISK",2,L179="HIGH RISK",3)</f>
        <v>2</v>
      </c>
    </row>
    <row r="180" spans="1:13" ht="18" customHeight="1" x14ac:dyDescent="0.35">
      <c r="A180" s="7" t="s">
        <v>109</v>
      </c>
      <c r="B180" s="14">
        <v>8904</v>
      </c>
      <c r="C180" s="14">
        <v>124</v>
      </c>
      <c r="D180" s="14">
        <v>8601</v>
      </c>
      <c r="E180" s="14">
        <v>179</v>
      </c>
      <c r="F180" s="14">
        <v>32406372</v>
      </c>
      <c r="G180" s="7" t="s">
        <v>195</v>
      </c>
      <c r="H180" s="15">
        <v>43855</v>
      </c>
      <c r="I180">
        <f>(C180/B180*100)</f>
        <v>1.3926325247079965</v>
      </c>
      <c r="J180">
        <f>(D180/B180*100)</f>
        <v>96.597035040431265</v>
      </c>
      <c r="K180">
        <f>(B180/F180*100)</f>
        <v>2.7476077852837094E-2</v>
      </c>
      <c r="L180" s="23" t="str" cm="1">
        <f t="array" ref="L180">_xlfn.IFS(I180&gt;5,"HIGH RISK",AND(I180&gt;=2,I180&lt;=5),"MODERATE RISK",I180&lt;2,"LOW RISK")</f>
        <v>LOW RISK</v>
      </c>
      <c r="M180" cm="1">
        <f t="array" ref="M180">_xlfn.IFS(L180="LOW RISK",1,L180="MODERATE RISK",2,L180="HIGH RISK",3)</f>
        <v>1</v>
      </c>
    </row>
    <row r="181" spans="1:13" ht="18" customHeight="1" x14ac:dyDescent="0.35">
      <c r="A181" s="6" t="s">
        <v>140</v>
      </c>
      <c r="B181" s="12">
        <v>109597</v>
      </c>
      <c r="C181" s="12">
        <v>165</v>
      </c>
      <c r="D181" s="12">
        <v>106328</v>
      </c>
      <c r="E181" s="12">
        <v>3104</v>
      </c>
      <c r="F181" s="12">
        <v>2807805</v>
      </c>
      <c r="G181" s="6" t="s">
        <v>195</v>
      </c>
      <c r="H181" s="13">
        <v>43888</v>
      </c>
      <c r="I181">
        <f>(C181/B181*100)</f>
        <v>0.15055156619250529</v>
      </c>
      <c r="J181">
        <f>(D181/B181*100)</f>
        <v>97.017254121919393</v>
      </c>
      <c r="K181">
        <f>(B181/F181*100)</f>
        <v>3.9032981278970582</v>
      </c>
      <c r="L181" s="23" t="str" cm="1">
        <f t="array" ref="L181">_xlfn.IFS(I181&gt;5,"HIGH RISK",AND(I181&gt;=2,I181&lt;=5),"MODERATE RISK",I181&lt;2,"LOW RISK")</f>
        <v>LOW RISK</v>
      </c>
      <c r="M181" cm="1">
        <f t="array" ref="M181">_xlfn.IFS(L181="LOW RISK",1,L181="MODERATE RISK",2,L181="HIGH RISK",3)</f>
        <v>1</v>
      </c>
    </row>
    <row r="182" spans="1:13" ht="18" customHeight="1" x14ac:dyDescent="0.35">
      <c r="A182" s="7" t="s">
        <v>125</v>
      </c>
      <c r="B182" s="14">
        <v>1557</v>
      </c>
      <c r="C182" s="14">
        <v>22</v>
      </c>
      <c r="D182" s="14">
        <v>1514</v>
      </c>
      <c r="E182" s="14">
        <v>21</v>
      </c>
      <c r="F182" s="14">
        <v>5002100</v>
      </c>
      <c r="G182" s="7" t="s">
        <v>200</v>
      </c>
      <c r="H182" s="15">
        <v>43889</v>
      </c>
      <c r="I182">
        <f>(C182/B182*100)</f>
        <v>1.4129736673089275</v>
      </c>
      <c r="J182">
        <f>(D182/B182*100)</f>
        <v>97.238278741168912</v>
      </c>
      <c r="K182">
        <f>(B182/F182*100)</f>
        <v>3.1126926690789869E-2</v>
      </c>
      <c r="L182" s="23" t="str" cm="1">
        <f t="array" ref="L182">_xlfn.IFS(I182&gt;5,"HIGH RISK",AND(I182&gt;=2,I182&lt;=5),"MODERATE RISK",I182&lt;2,"LOW RISK")</f>
        <v>LOW RISK</v>
      </c>
      <c r="M182" cm="1">
        <f t="array" ref="M182">_xlfn.IFS(L182="LOW RISK",1,L182="MODERATE RISK",2,L182="HIGH RISK",3)</f>
        <v>1</v>
      </c>
    </row>
    <row r="183" spans="1:13" ht="18" customHeight="1" x14ac:dyDescent="0.35">
      <c r="A183" s="6" t="s">
        <v>29</v>
      </c>
      <c r="B183" s="12">
        <v>141</v>
      </c>
      <c r="C183" s="12">
        <v>3</v>
      </c>
      <c r="D183" s="12">
        <v>138</v>
      </c>
      <c r="E183" s="12">
        <v>0</v>
      </c>
      <c r="F183" s="12">
        <v>437893</v>
      </c>
      <c r="G183" s="6" t="s">
        <v>195</v>
      </c>
      <c r="H183" s="13">
        <v>43899</v>
      </c>
      <c r="I183">
        <f>(C183/B183*100)</f>
        <v>2.1276595744680851</v>
      </c>
      <c r="J183">
        <f>(D183/B183*100)</f>
        <v>97.872340425531917</v>
      </c>
      <c r="K183">
        <f>(B183/F183*100)</f>
        <v>3.2199646945715046E-2</v>
      </c>
      <c r="L183" s="23" t="str" cm="1">
        <f t="array" ref="L183">_xlfn.IFS(I183&gt;5,"HIGH RISK",AND(I183&gt;=2,I183&lt;=5),"MODERATE RISK",I183&lt;2,"LOW RISK")</f>
        <v>MODERATE RISK</v>
      </c>
      <c r="M183" cm="1">
        <f t="array" ref="M183">_xlfn.IFS(L183="LOW RISK",1,L183="MODERATE RISK",2,L183="HIGH RISK",3)</f>
        <v>2</v>
      </c>
    </row>
    <row r="184" spans="1:13" ht="18" customHeight="1" x14ac:dyDescent="0.35">
      <c r="A184" s="6" t="s">
        <v>82</v>
      </c>
      <c r="B184" s="12">
        <v>1854</v>
      </c>
      <c r="C184" s="12">
        <v>10</v>
      </c>
      <c r="D184" s="12">
        <v>1823</v>
      </c>
      <c r="E184" s="12">
        <v>21</v>
      </c>
      <c r="F184" s="12">
        <v>341465</v>
      </c>
      <c r="G184" s="6" t="s">
        <v>196</v>
      </c>
      <c r="H184" s="13">
        <v>43889</v>
      </c>
      <c r="I184">
        <f>(C184/B184*100)</f>
        <v>0.53937432578209277</v>
      </c>
      <c r="J184">
        <f>(D184/B184*100)</f>
        <v>98.327939590075502</v>
      </c>
      <c r="K184">
        <f>(B184/F184*100)</f>
        <v>0.54295462199639788</v>
      </c>
      <c r="L184" s="23" t="str" cm="1">
        <f t="array" ref="L184">_xlfn.IFS(I184&gt;5,"HIGH RISK",AND(I184&gt;=2,I184&lt;=5),"MODERATE RISK",I184&lt;2,"LOW RISK")</f>
        <v>LOW RISK</v>
      </c>
      <c r="M184" cm="1">
        <f t="array" ref="M184">_xlfn.IFS(L184="LOW RISK",1,L184="MODERATE RISK",2,L184="HIGH RISK",3)</f>
        <v>1</v>
      </c>
    </row>
    <row r="185" spans="1:13" ht="18" customHeight="1" x14ac:dyDescent="0.35">
      <c r="A185" s="6" t="s">
        <v>52</v>
      </c>
      <c r="B185" s="12">
        <v>5059</v>
      </c>
      <c r="C185" s="12">
        <v>58</v>
      </c>
      <c r="D185" s="12">
        <v>4977</v>
      </c>
      <c r="E185" s="12">
        <v>24</v>
      </c>
      <c r="F185" s="12">
        <v>989387</v>
      </c>
      <c r="G185" s="6" t="s">
        <v>197</v>
      </c>
      <c r="H185" s="13">
        <v>43908</v>
      </c>
      <c r="I185">
        <f>(C185/B185*100)</f>
        <v>1.1464716347104171</v>
      </c>
      <c r="J185">
        <f>(D185/B185*100)</f>
        <v>98.379126309547331</v>
      </c>
      <c r="K185">
        <f>(B185/F185*100)</f>
        <v>0.51132671037723354</v>
      </c>
      <c r="L185" s="23" t="str" cm="1">
        <f t="array" ref="L185">_xlfn.IFS(I185&gt;5,"HIGH RISK",AND(I185&gt;=2,I185&lt;=5),"MODERATE RISK",I185&lt;2,"LOW RISK")</f>
        <v>LOW RISK</v>
      </c>
      <c r="M185" cm="1">
        <f t="array" ref="M185">_xlfn.IFS(L185="LOW RISK",1,L185="MODERATE RISK",2,L185="HIGH RISK",3)</f>
        <v>1</v>
      </c>
    </row>
    <row r="186" spans="1:13" ht="18" customHeight="1" x14ac:dyDescent="0.35">
      <c r="A186" s="7" t="s">
        <v>53</v>
      </c>
      <c r="B186" s="14">
        <v>18</v>
      </c>
      <c r="C186" s="14">
        <v>0</v>
      </c>
      <c r="D186" s="14">
        <v>18</v>
      </c>
      <c r="E186" s="14">
        <v>0</v>
      </c>
      <c r="F186" s="14">
        <v>72004</v>
      </c>
      <c r="G186" s="7" t="s">
        <v>198</v>
      </c>
      <c r="H186" s="15">
        <v>43912</v>
      </c>
      <c r="I186">
        <f>(C186/B186*100)</f>
        <v>0</v>
      </c>
      <c r="J186">
        <f>(D186/B186*100)</f>
        <v>100</v>
      </c>
      <c r="K186">
        <f>(B186/F186*100)</f>
        <v>2.4998611188267315E-2</v>
      </c>
      <c r="L186" s="23" t="str" cm="1">
        <f t="array" ref="L186">_xlfn.IFS(I186&gt;5,"HIGH RISK",AND(I186&gt;=2,I186&lt;=5),"MODERATE RISK",I186&lt;2,"LOW RISK")</f>
        <v>LOW RISK</v>
      </c>
      <c r="M186" cm="1">
        <f t="array" ref="M186">_xlfn.IFS(L186="LOW RISK",1,L186="MODERATE RISK",2,L186="HIGH RISK",3)</f>
        <v>1</v>
      </c>
    </row>
    <row r="187" spans="1:13" ht="18" customHeight="1" x14ac:dyDescent="0.35">
      <c r="A187" s="7" t="s">
        <v>73</v>
      </c>
      <c r="B187" s="14">
        <v>23</v>
      </c>
      <c r="C187" s="14">
        <v>0</v>
      </c>
      <c r="D187" s="14">
        <v>23</v>
      </c>
      <c r="E187" s="14">
        <v>0</v>
      </c>
      <c r="F187" s="14">
        <v>112576</v>
      </c>
      <c r="G187" s="7" t="s">
        <v>198</v>
      </c>
      <c r="H187" s="15">
        <v>43912</v>
      </c>
      <c r="I187">
        <f>(C187/B187*100)</f>
        <v>0</v>
      </c>
      <c r="J187">
        <f>(D187/B187*100)</f>
        <v>100</v>
      </c>
      <c r="K187">
        <f>(B187/F187*100)</f>
        <v>2.0430642410460487E-2</v>
      </c>
      <c r="L187" s="23" t="str" cm="1">
        <f t="array" ref="L187">_xlfn.IFS(I187&gt;5,"HIGH RISK",AND(I187&gt;=2,I187&lt;=5),"MODERATE RISK",I187&lt;2,"LOW RISK")</f>
        <v>LOW RISK</v>
      </c>
      <c r="M187" cm="1">
        <f t="array" ref="M187">_xlfn.IFS(L187="LOW RISK",1,L187="MODERATE RISK",2,L187="HIGH RISK",3)</f>
        <v>1</v>
      </c>
    </row>
    <row r="188" spans="1:13" ht="18" customHeight="1" x14ac:dyDescent="0.35">
      <c r="A188" s="27" t="s">
        <v>79</v>
      </c>
      <c r="B188" s="28">
        <v>12</v>
      </c>
      <c r="C188" s="28">
        <v>0</v>
      </c>
      <c r="D188" s="28">
        <v>12</v>
      </c>
      <c r="E188" s="28">
        <v>0</v>
      </c>
      <c r="F188" s="29">
        <v>528</v>
      </c>
      <c r="G188" s="27" t="s">
        <v>196</v>
      </c>
      <c r="H188" s="30">
        <v>43912</v>
      </c>
      <c r="I188">
        <f>(C188/B188*100)</f>
        <v>0</v>
      </c>
      <c r="J188">
        <f>(D188/B188*100)</f>
        <v>100</v>
      </c>
      <c r="K188">
        <f>(B188/F188*100)</f>
        <v>2.2727272727272729</v>
      </c>
      <c r="L188" s="23" t="str" cm="1">
        <f t="array" ref="L188">_xlfn.IFS(I188&gt;5,"HIGH RISK",AND(I188&gt;=2,I188&lt;=5),"MODERATE RISK",I188&lt;2,"LOW RISK")</f>
        <v>LOW RISK</v>
      </c>
      <c r="M188" cm="1">
        <f t="array" ref="M188">_xlfn.IFS(L188="LOW RISK",1,L188="MODERATE RISK",2,L188="HIGH RISK",3)</f>
        <v>1</v>
      </c>
    </row>
  </sheetData>
  <sortState xmlns:xlrd2="http://schemas.microsoft.com/office/spreadsheetml/2017/richdata2" ref="A2:N188">
    <sortCondition ref="J2:J188"/>
  </sortState>
  <phoneticPr fontId="3" type="noConversion"/>
  <conditionalFormatting sqref="J2:J18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" priority="7" operator="between">
      <formula>69</formula>
      <formula>100</formula>
    </cfRule>
    <cfRule type="cellIs" dxfId="4" priority="8" operator="between">
      <formula>21</formula>
      <formula>68</formula>
    </cfRule>
    <cfRule type="cellIs" dxfId="3" priority="9" operator="between">
      <formula>0</formula>
      <formula>20</formula>
    </cfRule>
  </conditionalFormatting>
  <conditionalFormatting sqref="K2:K188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{B45292E7-EF44-4366-87DA-ECC47E9FD736}</x14:id>
        </ext>
      </extLst>
    </cfRule>
  </conditionalFormatting>
  <conditionalFormatting sqref="L2:L188">
    <cfRule type="iconSet" priority="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M2:M188">
    <cfRule type="iconSet" priority="1">
      <iconSet iconSet="3Arrows" showValue="0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N1" xr:uid="{3A151E31-EA08-4D1C-966D-A5446CF10855}">
      <formula1>$A$2:$A$188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5292E7-EF44-4366-87DA-ECC47E9FD7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K2:K188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28CA-8FC6-45CE-898F-B3A6416647E2}">
  <dimension ref="A1:GF17"/>
  <sheetViews>
    <sheetView workbookViewId="0">
      <selection sqref="A1:XFD1048576"/>
    </sheetView>
  </sheetViews>
  <sheetFormatPr defaultRowHeight="14.5" x14ac:dyDescent="0.35"/>
  <cols>
    <col min="1" max="1" width="15.54296875" bestFit="1" customWidth="1"/>
    <col min="2" max="4" width="14" bestFit="1" customWidth="1"/>
    <col min="5" max="5" width="11.81640625" bestFit="1" customWidth="1"/>
    <col min="6" max="6" width="14" bestFit="1" customWidth="1"/>
    <col min="7" max="7" width="18.6328125" bestFit="1" customWidth="1"/>
    <col min="8" max="8" width="13.7265625" bestFit="1" customWidth="1"/>
    <col min="9" max="9" width="11.81640625" bestFit="1" customWidth="1"/>
    <col min="10" max="10" width="16.6328125" bestFit="1" customWidth="1"/>
    <col min="11" max="11" width="14" bestFit="1" customWidth="1"/>
    <col min="12" max="12" width="11.81640625" bestFit="1" customWidth="1"/>
    <col min="13" max="13" width="14" bestFit="1" customWidth="1"/>
    <col min="14" max="15" width="11.81640625" bestFit="1" customWidth="1"/>
    <col min="16" max="16" width="13.6328125" bestFit="1" customWidth="1"/>
    <col min="17" max="18" width="11.81640625" bestFit="1" customWidth="1"/>
    <col min="19" max="19" width="14" bestFit="1" customWidth="1"/>
    <col min="20" max="21" width="11.81640625" bestFit="1" customWidth="1"/>
    <col min="22" max="22" width="14" bestFit="1" customWidth="1"/>
    <col min="23" max="23" width="21.26953125" bestFit="1" customWidth="1"/>
    <col min="24" max="24" width="11.81640625" bestFit="1" customWidth="1"/>
    <col min="25" max="28" width="14" bestFit="1" customWidth="1"/>
    <col min="29" max="32" width="11.81640625" bestFit="1" customWidth="1"/>
    <col min="33" max="33" width="14" bestFit="1" customWidth="1"/>
    <col min="34" max="34" width="13.6328125" bestFit="1" customWidth="1"/>
    <col min="35" max="35" width="21.6328125" bestFit="1" customWidth="1"/>
    <col min="36" max="36" width="11.81640625" bestFit="1" customWidth="1"/>
    <col min="37" max="37" width="14" bestFit="1" customWidth="1"/>
    <col min="38" max="38" width="11.81640625" bestFit="1" customWidth="1"/>
    <col min="39" max="39" width="14" bestFit="1" customWidth="1"/>
    <col min="40" max="40" width="11.81640625" bestFit="1" customWidth="1"/>
    <col min="41" max="41" width="17.453125" bestFit="1" customWidth="1"/>
    <col min="42" max="42" width="16.08984375" bestFit="1" customWidth="1"/>
    <col min="43" max="43" width="13.6328125" bestFit="1" customWidth="1"/>
    <col min="44" max="44" width="11.90625" bestFit="1" customWidth="1"/>
    <col min="45" max="46" width="14" bestFit="1" customWidth="1"/>
    <col min="47" max="47" width="11.81640625" bestFit="1" customWidth="1"/>
    <col min="48" max="49" width="14" bestFit="1" customWidth="1"/>
    <col min="50" max="50" width="11.81640625" bestFit="1" customWidth="1"/>
    <col min="51" max="51" width="13.6328125" bestFit="1" customWidth="1"/>
    <col min="52" max="52" width="18.1796875" bestFit="1" customWidth="1"/>
    <col min="53" max="53" width="13.7265625" bestFit="1" customWidth="1"/>
    <col min="54" max="54" width="11.81640625" bestFit="1" customWidth="1"/>
    <col min="55" max="55" width="14" bestFit="1" customWidth="1"/>
    <col min="56" max="56" width="16.26953125" bestFit="1" customWidth="1"/>
    <col min="57" max="57" width="11.81640625" bestFit="1" customWidth="1"/>
    <col min="58" max="58" width="14" bestFit="1" customWidth="1"/>
    <col min="59" max="60" width="11.81640625" bestFit="1" customWidth="1"/>
    <col min="61" max="61" width="16.6328125" bestFit="1" customWidth="1"/>
    <col min="62" max="62" width="14" bestFit="1" customWidth="1"/>
    <col min="63" max="64" width="11.81640625" bestFit="1" customWidth="1"/>
    <col min="65" max="65" width="14" bestFit="1" customWidth="1"/>
    <col min="66" max="66" width="11.81640625" bestFit="1" customWidth="1"/>
    <col min="67" max="67" width="14" bestFit="1" customWidth="1"/>
    <col min="68" max="68" width="11.81640625" bestFit="1" customWidth="1"/>
    <col min="69" max="69" width="14" bestFit="1" customWidth="1"/>
    <col min="70" max="71" width="13.6328125" bestFit="1" customWidth="1"/>
    <col min="72" max="72" width="14" bestFit="1" customWidth="1"/>
    <col min="73" max="73" width="11.81640625" bestFit="1" customWidth="1"/>
    <col min="74" max="75" width="13.7265625" bestFit="1" customWidth="1"/>
    <col min="76" max="76" width="14" bestFit="1" customWidth="1"/>
    <col min="77" max="77" width="11.81640625" bestFit="1" customWidth="1"/>
    <col min="78" max="78" width="14" bestFit="1" customWidth="1"/>
    <col min="79" max="80" width="11.81640625" bestFit="1" customWidth="1"/>
    <col min="81" max="82" width="14" bestFit="1" customWidth="1"/>
    <col min="83" max="83" width="11.81640625" bestFit="1" customWidth="1"/>
    <col min="84" max="84" width="14" bestFit="1" customWidth="1"/>
    <col min="85" max="87" width="11.81640625" bestFit="1" customWidth="1"/>
    <col min="88" max="88" width="13.6328125" bestFit="1" customWidth="1"/>
    <col min="89" max="89" width="14" bestFit="1" customWidth="1"/>
    <col min="90" max="92" width="11.81640625" bestFit="1" customWidth="1"/>
    <col min="93" max="93" width="14" bestFit="1" customWidth="1"/>
    <col min="94" max="94" width="11.81640625" bestFit="1" customWidth="1"/>
    <col min="95" max="95" width="14" bestFit="1" customWidth="1"/>
    <col min="96" max="96" width="11.81640625" bestFit="1" customWidth="1"/>
    <col min="97" max="97" width="14" bestFit="1" customWidth="1"/>
    <col min="98" max="98" width="11.81640625" bestFit="1" customWidth="1"/>
    <col min="99" max="99" width="14" bestFit="1" customWidth="1"/>
    <col min="100" max="100" width="11.81640625" bestFit="1" customWidth="1"/>
    <col min="101" max="101" width="14" bestFit="1" customWidth="1"/>
    <col min="102" max="102" width="13" bestFit="1" customWidth="1"/>
    <col min="103" max="103" width="14" bestFit="1" customWidth="1"/>
    <col min="104" max="105" width="11.81640625" bestFit="1" customWidth="1"/>
    <col min="106" max="106" width="14" bestFit="1" customWidth="1"/>
    <col min="107" max="108" width="11.81640625" bestFit="1" customWidth="1"/>
    <col min="109" max="109" width="14" bestFit="1" customWidth="1"/>
    <col min="110" max="110" width="11.81640625" bestFit="1" customWidth="1"/>
    <col min="111" max="112" width="14" bestFit="1" customWidth="1"/>
    <col min="113" max="113" width="13.6328125" bestFit="1" customWidth="1"/>
    <col min="114" max="115" width="14" bestFit="1" customWidth="1"/>
    <col min="116" max="118" width="11.81640625" bestFit="1" customWidth="1"/>
    <col min="119" max="119" width="12.1796875" bestFit="1" customWidth="1"/>
    <col min="120" max="122" width="11.81640625" bestFit="1" customWidth="1"/>
    <col min="123" max="123" width="16.6328125" bestFit="1" customWidth="1"/>
    <col min="124" max="124" width="14" bestFit="1" customWidth="1"/>
    <col min="125" max="125" width="11.81640625" bestFit="1" customWidth="1"/>
    <col min="126" max="126" width="14" bestFit="1" customWidth="1"/>
    <col min="127" max="127" width="15.81640625" bestFit="1" customWidth="1"/>
    <col min="128" max="128" width="14" bestFit="1" customWidth="1"/>
    <col min="129" max="129" width="11.81640625" bestFit="1" customWidth="1"/>
    <col min="130" max="131" width="14" bestFit="1" customWidth="1"/>
    <col min="132" max="132" width="17.1796875" bestFit="1" customWidth="1"/>
    <col min="133" max="133" width="13.7265625" bestFit="1" customWidth="1"/>
    <col min="134" max="137" width="14" bestFit="1" customWidth="1"/>
    <col min="138" max="138" width="11.81640625" bestFit="1" customWidth="1"/>
    <col min="139" max="139" width="14" bestFit="1" customWidth="1"/>
    <col min="140" max="141" width="11.81640625" bestFit="1" customWidth="1"/>
    <col min="142" max="142" width="18.36328125" bestFit="1" customWidth="1"/>
    <col min="143" max="143" width="13.6328125" bestFit="1" customWidth="1"/>
    <col min="144" max="144" width="28.90625" bestFit="1" customWidth="1"/>
    <col min="145" max="145" width="11.81640625" bestFit="1" customWidth="1"/>
    <col min="146" max="146" width="20.26953125" bestFit="1" customWidth="1"/>
    <col min="147" max="147" width="11.90625" bestFit="1" customWidth="1"/>
    <col min="148" max="148" width="11.81640625" bestFit="1" customWidth="1"/>
    <col min="149" max="149" width="14" bestFit="1" customWidth="1"/>
    <col min="150" max="150" width="11.81640625" bestFit="1" customWidth="1"/>
    <col min="151" max="151" width="14" bestFit="1" customWidth="1"/>
    <col min="152" max="154" width="11.81640625" bestFit="1" customWidth="1"/>
    <col min="155" max="155" width="14" bestFit="1" customWidth="1"/>
    <col min="156" max="156" width="11.81640625" bestFit="1" customWidth="1"/>
    <col min="157" max="157" width="14" bestFit="1" customWidth="1"/>
    <col min="158" max="158" width="11.90625" bestFit="1" customWidth="1"/>
    <col min="159" max="161" width="11.81640625" bestFit="1" customWidth="1"/>
    <col min="162" max="162" width="13.7265625" bestFit="1" customWidth="1"/>
    <col min="163" max="167" width="11.81640625" bestFit="1" customWidth="1"/>
    <col min="168" max="168" width="14" bestFit="1" customWidth="1"/>
    <col min="169" max="170" width="11.81640625" bestFit="1" customWidth="1"/>
    <col min="171" max="171" width="14" bestFit="1" customWidth="1"/>
    <col min="172" max="172" width="18.08984375" bestFit="1" customWidth="1"/>
    <col min="173" max="175" width="14" bestFit="1" customWidth="1"/>
    <col min="176" max="176" width="11.81640625" bestFit="1" customWidth="1"/>
    <col min="177" max="177" width="14" bestFit="1" customWidth="1"/>
    <col min="178" max="178" width="19.08984375" bestFit="1" customWidth="1"/>
    <col min="179" max="179" width="14.6328125" bestFit="1" customWidth="1"/>
    <col min="180" max="180" width="14" bestFit="1" customWidth="1"/>
    <col min="181" max="181" width="11.81640625" bestFit="1" customWidth="1"/>
    <col min="182" max="182" width="13.7265625" bestFit="1" customWidth="1"/>
    <col min="183" max="183" width="11.81640625" bestFit="1" customWidth="1"/>
    <col min="184" max="184" width="18.453125" bestFit="1" customWidth="1"/>
    <col min="185" max="185" width="14.81640625" bestFit="1" customWidth="1"/>
    <col min="186" max="186" width="11.81640625" bestFit="1" customWidth="1"/>
    <col min="187" max="187" width="14" bestFit="1" customWidth="1"/>
    <col min="188" max="188" width="11.81640625" bestFit="1" customWidth="1"/>
  </cols>
  <sheetData>
    <row r="1" spans="1:188" x14ac:dyDescent="0.35">
      <c r="A1" s="5" t="s">
        <v>0</v>
      </c>
      <c r="B1" s="6" t="s">
        <v>5</v>
      </c>
      <c r="C1" s="7" t="s">
        <v>6</v>
      </c>
      <c r="D1" s="6" t="s">
        <v>7</v>
      </c>
      <c r="E1" s="7" t="s">
        <v>8</v>
      </c>
      <c r="F1" s="6" t="s">
        <v>9</v>
      </c>
      <c r="G1" s="7" t="s">
        <v>10</v>
      </c>
      <c r="H1" s="6" t="s">
        <v>11</v>
      </c>
      <c r="I1" s="7" t="s">
        <v>12</v>
      </c>
      <c r="J1" s="6" t="s">
        <v>13</v>
      </c>
      <c r="K1" s="7" t="s">
        <v>14</v>
      </c>
      <c r="L1" s="6" t="s">
        <v>15</v>
      </c>
      <c r="M1" s="7" t="s">
        <v>16</v>
      </c>
      <c r="N1" s="6" t="s">
        <v>17</v>
      </c>
      <c r="O1" s="7" t="s">
        <v>18</v>
      </c>
      <c r="P1" s="6" t="s">
        <v>19</v>
      </c>
      <c r="Q1" s="7" t="s">
        <v>20</v>
      </c>
      <c r="R1" s="6" t="s">
        <v>21</v>
      </c>
      <c r="S1" s="7" t="s">
        <v>22</v>
      </c>
      <c r="T1" s="6" t="s">
        <v>23</v>
      </c>
      <c r="U1" s="7" t="s">
        <v>24</v>
      </c>
      <c r="V1" s="6" t="s">
        <v>25</v>
      </c>
      <c r="W1" s="7" t="s">
        <v>26</v>
      </c>
      <c r="X1" s="6" t="s">
        <v>27</v>
      </c>
      <c r="Y1" s="7" t="s">
        <v>28</v>
      </c>
      <c r="Z1" s="6" t="s">
        <v>29</v>
      </c>
      <c r="AA1" s="7" t="s">
        <v>30</v>
      </c>
      <c r="AB1" s="6" t="s">
        <v>31</v>
      </c>
      <c r="AC1" s="7" t="s">
        <v>191</v>
      </c>
      <c r="AD1" s="6" t="s">
        <v>32</v>
      </c>
      <c r="AE1" s="7" t="s">
        <v>33</v>
      </c>
      <c r="AF1" s="6" t="s">
        <v>34</v>
      </c>
      <c r="AG1" s="7" t="s">
        <v>35</v>
      </c>
      <c r="AH1" s="6" t="s">
        <v>36</v>
      </c>
      <c r="AI1" s="7" t="s">
        <v>37</v>
      </c>
      <c r="AJ1" s="6" t="s">
        <v>38</v>
      </c>
      <c r="AK1" s="7" t="s">
        <v>39</v>
      </c>
      <c r="AL1" s="6" t="s">
        <v>40</v>
      </c>
      <c r="AM1" s="7" t="s">
        <v>41</v>
      </c>
      <c r="AN1" s="6" t="s">
        <v>42</v>
      </c>
      <c r="AO1" s="7" t="s">
        <v>43</v>
      </c>
      <c r="AP1" s="6" t="s">
        <v>44</v>
      </c>
      <c r="AQ1" s="7" t="s">
        <v>45</v>
      </c>
      <c r="AR1" s="6" t="s">
        <v>46</v>
      </c>
      <c r="AS1" s="7" t="s">
        <v>47</v>
      </c>
      <c r="AT1" s="6" t="s">
        <v>48</v>
      </c>
      <c r="AU1" s="7" t="s">
        <v>49</v>
      </c>
      <c r="AV1" s="6" t="s">
        <v>50</v>
      </c>
      <c r="AW1" s="7" t="s">
        <v>51</v>
      </c>
      <c r="AX1" s="6" t="s">
        <v>52</v>
      </c>
      <c r="AY1" s="7" t="s">
        <v>53</v>
      </c>
      <c r="AZ1" s="6" t="s">
        <v>54</v>
      </c>
      <c r="BA1" s="7" t="s">
        <v>55</v>
      </c>
      <c r="BB1" s="6" t="s">
        <v>56</v>
      </c>
      <c r="BC1" s="7" t="s">
        <v>57</v>
      </c>
      <c r="BD1" s="6" t="s">
        <v>58</v>
      </c>
      <c r="BE1" s="7" t="s">
        <v>59</v>
      </c>
      <c r="BF1" s="6" t="s">
        <v>60</v>
      </c>
      <c r="BG1" s="7" t="s">
        <v>61</v>
      </c>
      <c r="BH1" s="6" t="s">
        <v>62</v>
      </c>
      <c r="BI1" s="7" t="s">
        <v>63</v>
      </c>
      <c r="BJ1" s="6" t="s">
        <v>64</v>
      </c>
      <c r="BK1" s="7" t="s">
        <v>65</v>
      </c>
      <c r="BL1" s="6" t="s">
        <v>66</v>
      </c>
      <c r="BM1" s="7" t="s">
        <v>67</v>
      </c>
      <c r="BN1" s="6" t="s">
        <v>68</v>
      </c>
      <c r="BO1" s="7" t="s">
        <v>69</v>
      </c>
      <c r="BP1" s="6" t="s">
        <v>70</v>
      </c>
      <c r="BQ1" s="7" t="s">
        <v>71</v>
      </c>
      <c r="BR1" s="6" t="s">
        <v>72</v>
      </c>
      <c r="BS1" s="7" t="s">
        <v>73</v>
      </c>
      <c r="BT1" s="6" t="s">
        <v>74</v>
      </c>
      <c r="BU1" s="7" t="s">
        <v>75</v>
      </c>
      <c r="BV1" s="6" t="s">
        <v>76</v>
      </c>
      <c r="BW1" s="7" t="s">
        <v>77</v>
      </c>
      <c r="BX1" s="6" t="s">
        <v>78</v>
      </c>
      <c r="BY1" s="7" t="s">
        <v>79</v>
      </c>
      <c r="BZ1" s="6" t="s">
        <v>80</v>
      </c>
      <c r="CA1" s="7" t="s">
        <v>81</v>
      </c>
      <c r="CB1" s="6" t="s">
        <v>82</v>
      </c>
      <c r="CC1" s="7" t="s">
        <v>83</v>
      </c>
      <c r="CD1" s="6" t="s">
        <v>84</v>
      </c>
      <c r="CE1" s="7" t="s">
        <v>85</v>
      </c>
      <c r="CF1" s="6" t="s">
        <v>86</v>
      </c>
      <c r="CG1" s="7" t="s">
        <v>87</v>
      </c>
      <c r="CH1" s="6" t="s">
        <v>88</v>
      </c>
      <c r="CI1" s="7" t="s">
        <v>89</v>
      </c>
      <c r="CJ1" s="6" t="s">
        <v>90</v>
      </c>
      <c r="CK1" s="7" t="s">
        <v>91</v>
      </c>
      <c r="CL1" s="6" t="s">
        <v>92</v>
      </c>
      <c r="CM1" s="7" t="s">
        <v>93</v>
      </c>
      <c r="CN1" s="6" t="s">
        <v>94</v>
      </c>
      <c r="CO1" s="7" t="s">
        <v>95</v>
      </c>
      <c r="CP1" s="6" t="s">
        <v>96</v>
      </c>
      <c r="CQ1" s="7" t="s">
        <v>97</v>
      </c>
      <c r="CR1" s="6" t="s">
        <v>98</v>
      </c>
      <c r="CS1" s="7" t="s">
        <v>99</v>
      </c>
      <c r="CT1" s="6" t="s">
        <v>100</v>
      </c>
      <c r="CU1" s="7" t="s">
        <v>101</v>
      </c>
      <c r="CV1" s="6" t="s">
        <v>102</v>
      </c>
      <c r="CW1" s="7" t="s">
        <v>103</v>
      </c>
      <c r="CX1" s="6" t="s">
        <v>104</v>
      </c>
      <c r="CY1" s="7" t="s">
        <v>105</v>
      </c>
      <c r="CZ1" s="6" t="s">
        <v>106</v>
      </c>
      <c r="DA1" s="7" t="s">
        <v>107</v>
      </c>
      <c r="DB1" s="6" t="s">
        <v>108</v>
      </c>
      <c r="DC1" s="7" t="s">
        <v>109</v>
      </c>
      <c r="DD1" s="6" t="s">
        <v>110</v>
      </c>
      <c r="DE1" s="7" t="s">
        <v>111</v>
      </c>
      <c r="DF1" s="6" t="s">
        <v>112</v>
      </c>
      <c r="DG1" s="7" t="s">
        <v>113</v>
      </c>
      <c r="DH1" s="6" t="s">
        <v>114</v>
      </c>
      <c r="DI1" s="7" t="s">
        <v>115</v>
      </c>
      <c r="DJ1" s="6" t="s">
        <v>116</v>
      </c>
      <c r="DK1" s="7" t="s">
        <v>117</v>
      </c>
      <c r="DL1" s="6" t="s">
        <v>118</v>
      </c>
      <c r="DM1" s="7" t="s">
        <v>119</v>
      </c>
      <c r="DN1" s="6" t="s">
        <v>120</v>
      </c>
      <c r="DO1" s="7" t="s">
        <v>121</v>
      </c>
      <c r="DP1" s="6" t="s">
        <v>122</v>
      </c>
      <c r="DQ1" s="7" t="s">
        <v>123</v>
      </c>
      <c r="DR1" s="6" t="s">
        <v>124</v>
      </c>
      <c r="DS1" s="7" t="s">
        <v>125</v>
      </c>
      <c r="DT1" s="6" t="s">
        <v>126</v>
      </c>
      <c r="DU1" s="7" t="s">
        <v>127</v>
      </c>
      <c r="DV1" s="6" t="s">
        <v>128</v>
      </c>
      <c r="DW1" s="7" t="s">
        <v>129</v>
      </c>
      <c r="DX1" s="6" t="s">
        <v>130</v>
      </c>
      <c r="DY1" s="7" t="s">
        <v>131</v>
      </c>
      <c r="DZ1" s="6" t="s">
        <v>132</v>
      </c>
      <c r="EA1" s="7" t="s">
        <v>133</v>
      </c>
      <c r="EB1" s="6" t="s">
        <v>134</v>
      </c>
      <c r="EC1" s="7" t="s">
        <v>135</v>
      </c>
      <c r="ED1" s="6" t="s">
        <v>136</v>
      </c>
      <c r="EE1" s="7" t="s">
        <v>137</v>
      </c>
      <c r="EF1" s="6" t="s">
        <v>138</v>
      </c>
      <c r="EG1" s="7" t="s">
        <v>139</v>
      </c>
      <c r="EH1" s="6" t="s">
        <v>140</v>
      </c>
      <c r="EI1" s="7" t="s">
        <v>141</v>
      </c>
      <c r="EJ1" s="6" t="s">
        <v>142</v>
      </c>
      <c r="EK1" s="7" t="s">
        <v>143</v>
      </c>
      <c r="EL1" s="6" t="s">
        <v>144</v>
      </c>
      <c r="EM1" s="7" t="s">
        <v>145</v>
      </c>
      <c r="EN1" s="6" t="s">
        <v>146</v>
      </c>
      <c r="EO1" s="7" t="s">
        <v>147</v>
      </c>
      <c r="EP1" s="6" t="s">
        <v>148</v>
      </c>
      <c r="EQ1" s="7" t="s">
        <v>149</v>
      </c>
      <c r="ER1" s="6" t="s">
        <v>150</v>
      </c>
      <c r="ES1" s="7" t="s">
        <v>151</v>
      </c>
      <c r="ET1" s="6" t="s">
        <v>152</v>
      </c>
      <c r="EU1" s="7" t="s">
        <v>153</v>
      </c>
      <c r="EV1" s="6" t="s">
        <v>154</v>
      </c>
      <c r="EW1" s="7" t="s">
        <v>155</v>
      </c>
      <c r="EX1" s="6" t="s">
        <v>156</v>
      </c>
      <c r="EY1" s="7" t="s">
        <v>157</v>
      </c>
      <c r="EZ1" s="6" t="s">
        <v>158</v>
      </c>
      <c r="FA1" s="7" t="s">
        <v>159</v>
      </c>
      <c r="FB1" s="6" t="s">
        <v>160</v>
      </c>
      <c r="FC1" s="7" t="s">
        <v>161</v>
      </c>
      <c r="FD1" s="6" t="s">
        <v>162</v>
      </c>
      <c r="FE1" s="7" t="s">
        <v>163</v>
      </c>
      <c r="FF1" s="6" t="s">
        <v>164</v>
      </c>
      <c r="FG1" s="7" t="s">
        <v>165</v>
      </c>
      <c r="FH1" s="6" t="s">
        <v>166</v>
      </c>
      <c r="FI1" s="7" t="s">
        <v>167</v>
      </c>
      <c r="FJ1" s="6" t="s">
        <v>190</v>
      </c>
      <c r="FK1" s="7" t="s">
        <v>168</v>
      </c>
      <c r="FL1" s="6" t="s">
        <v>169</v>
      </c>
      <c r="FM1" s="7" t="s">
        <v>170</v>
      </c>
      <c r="FN1" s="6" t="s">
        <v>171</v>
      </c>
      <c r="FO1" s="7" t="s">
        <v>172</v>
      </c>
      <c r="FP1" s="6" t="s">
        <v>173</v>
      </c>
      <c r="FQ1" s="7" t="s">
        <v>174</v>
      </c>
      <c r="FR1" s="6" t="s">
        <v>175</v>
      </c>
      <c r="FS1" s="7" t="s">
        <v>176</v>
      </c>
      <c r="FT1" s="6" t="s">
        <v>177</v>
      </c>
      <c r="FU1" s="7" t="s">
        <v>178</v>
      </c>
      <c r="FV1" s="6" t="s">
        <v>179</v>
      </c>
      <c r="FW1" s="7" t="s">
        <v>180</v>
      </c>
      <c r="FX1" s="6" t="s">
        <v>181</v>
      </c>
      <c r="FY1" s="7" t="s">
        <v>182</v>
      </c>
      <c r="FZ1" s="6" t="s">
        <v>183</v>
      </c>
      <c r="GA1" s="7" t="s">
        <v>184</v>
      </c>
      <c r="GB1" s="6" t="s">
        <v>185</v>
      </c>
      <c r="GC1" s="7" t="s">
        <v>186</v>
      </c>
      <c r="GD1" s="6" t="s">
        <v>187</v>
      </c>
      <c r="GE1" s="7" t="s">
        <v>188</v>
      </c>
      <c r="GF1" s="8" t="s">
        <v>189</v>
      </c>
    </row>
    <row r="2" spans="1:188" x14ac:dyDescent="0.35">
      <c r="A2" s="9" t="s">
        <v>1</v>
      </c>
      <c r="B2" s="12">
        <v>36263</v>
      </c>
      <c r="C2" s="14">
        <v>4880</v>
      </c>
      <c r="D2" s="12">
        <v>27973</v>
      </c>
      <c r="E2" s="14">
        <v>907</v>
      </c>
      <c r="F2" s="12">
        <v>950</v>
      </c>
      <c r="G2" s="14">
        <v>86</v>
      </c>
      <c r="H2" s="12">
        <v>167416</v>
      </c>
      <c r="I2" s="14">
        <v>37390</v>
      </c>
      <c r="J2" s="12">
        <v>15303</v>
      </c>
      <c r="K2" s="14">
        <v>20558</v>
      </c>
      <c r="L2" s="12">
        <v>30446</v>
      </c>
      <c r="M2" s="14">
        <v>382</v>
      </c>
      <c r="N2" s="12">
        <v>39482</v>
      </c>
      <c r="O2" s="14">
        <v>226225</v>
      </c>
      <c r="P2" s="12">
        <v>110</v>
      </c>
      <c r="Q2" s="14">
        <v>67251</v>
      </c>
      <c r="R2" s="12">
        <v>66428</v>
      </c>
      <c r="S2" s="14">
        <v>48</v>
      </c>
      <c r="T2" s="12">
        <v>1770</v>
      </c>
      <c r="U2" s="14">
        <v>99</v>
      </c>
      <c r="V2" s="12">
        <v>71181</v>
      </c>
      <c r="W2" s="14">
        <v>10498</v>
      </c>
      <c r="X2" s="12">
        <v>739</v>
      </c>
      <c r="Y2" s="14">
        <v>2442375</v>
      </c>
      <c r="Z2" s="12">
        <v>141</v>
      </c>
      <c r="AA2" s="14">
        <v>10621</v>
      </c>
      <c r="AB2" s="12">
        <v>1100</v>
      </c>
      <c r="AC2" s="14">
        <v>350</v>
      </c>
      <c r="AD2" s="12">
        <v>378</v>
      </c>
      <c r="AE2" s="14">
        <v>2328</v>
      </c>
      <c r="AF2" s="12">
        <v>226</v>
      </c>
      <c r="AG2" s="14">
        <v>17110</v>
      </c>
      <c r="AH2" s="12">
        <v>116458</v>
      </c>
      <c r="AI2" s="14">
        <v>4599</v>
      </c>
      <c r="AJ2" s="12">
        <v>922</v>
      </c>
      <c r="AK2" s="14">
        <v>347923</v>
      </c>
      <c r="AL2" s="12">
        <v>86783</v>
      </c>
      <c r="AM2" s="14">
        <v>257101</v>
      </c>
      <c r="AN2" s="12">
        <v>354</v>
      </c>
      <c r="AO2" s="14">
        <v>3200</v>
      </c>
      <c r="AP2" s="12">
        <v>8844</v>
      </c>
      <c r="AQ2" s="14">
        <v>15841</v>
      </c>
      <c r="AR2" s="12">
        <v>15655</v>
      </c>
      <c r="AS2" s="14">
        <v>4881</v>
      </c>
      <c r="AT2" s="12">
        <v>2532</v>
      </c>
      <c r="AU2" s="14">
        <v>1060</v>
      </c>
      <c r="AV2" s="12">
        <v>15516</v>
      </c>
      <c r="AW2" s="14">
        <v>13761</v>
      </c>
      <c r="AX2" s="12">
        <v>5059</v>
      </c>
      <c r="AY2" s="14">
        <v>18</v>
      </c>
      <c r="AZ2" s="12">
        <v>64156</v>
      </c>
      <c r="BA2" s="14">
        <v>81161</v>
      </c>
      <c r="BB2" s="12">
        <v>92482</v>
      </c>
      <c r="BC2" s="14">
        <v>15035</v>
      </c>
      <c r="BD2" s="12">
        <v>3071</v>
      </c>
      <c r="BE2" s="14">
        <v>265</v>
      </c>
      <c r="BF2" s="12">
        <v>2034</v>
      </c>
      <c r="BG2" s="14">
        <v>2316</v>
      </c>
      <c r="BH2" s="12">
        <v>14547</v>
      </c>
      <c r="BI2" s="14">
        <v>27</v>
      </c>
      <c r="BJ2" s="12">
        <v>7398</v>
      </c>
      <c r="BK2" s="14">
        <v>220352</v>
      </c>
      <c r="BL2" s="12">
        <v>7189</v>
      </c>
      <c r="BM2" s="14">
        <v>326</v>
      </c>
      <c r="BN2" s="12">
        <v>1137</v>
      </c>
      <c r="BO2" s="14">
        <v>207112</v>
      </c>
      <c r="BP2" s="12">
        <v>33624</v>
      </c>
      <c r="BQ2" s="14">
        <v>4227</v>
      </c>
      <c r="BR2" s="12">
        <v>14</v>
      </c>
      <c r="BS2" s="14">
        <v>23</v>
      </c>
      <c r="BT2" s="12">
        <v>45309</v>
      </c>
      <c r="BU2" s="14">
        <v>7055</v>
      </c>
      <c r="BV2" s="12">
        <v>1954</v>
      </c>
      <c r="BW2" s="14">
        <v>389</v>
      </c>
      <c r="BX2" s="12">
        <v>7340</v>
      </c>
      <c r="BY2" s="14">
        <v>12</v>
      </c>
      <c r="BZ2" s="12">
        <v>39741</v>
      </c>
      <c r="CA2" s="14">
        <v>4448</v>
      </c>
      <c r="CB2" s="12">
        <v>1854</v>
      </c>
      <c r="CC2" s="14">
        <v>1480073</v>
      </c>
      <c r="CD2" s="12">
        <v>100303</v>
      </c>
      <c r="CE2" s="14">
        <v>293606</v>
      </c>
      <c r="CF2" s="12">
        <v>112585</v>
      </c>
      <c r="CG2" s="14">
        <v>25892</v>
      </c>
      <c r="CH2" s="12">
        <v>63985</v>
      </c>
      <c r="CI2" s="14">
        <v>246286</v>
      </c>
      <c r="CJ2" s="12">
        <v>853</v>
      </c>
      <c r="CK2" s="14">
        <v>31142</v>
      </c>
      <c r="CL2" s="12">
        <v>1176</v>
      </c>
      <c r="CM2" s="14">
        <v>84648</v>
      </c>
      <c r="CN2" s="12">
        <v>17975</v>
      </c>
      <c r="CO2" s="14">
        <v>7413</v>
      </c>
      <c r="CP2" s="12">
        <v>64379</v>
      </c>
      <c r="CQ2" s="14">
        <v>33296</v>
      </c>
      <c r="CR2" s="12">
        <v>20</v>
      </c>
      <c r="CS2" s="14">
        <v>1219</v>
      </c>
      <c r="CT2" s="12">
        <v>3882</v>
      </c>
      <c r="CU2" s="14">
        <v>505</v>
      </c>
      <c r="CV2" s="12">
        <v>1167</v>
      </c>
      <c r="CW2" s="14">
        <v>2827</v>
      </c>
      <c r="CX2" s="12">
        <v>86</v>
      </c>
      <c r="CY2" s="14">
        <v>2019</v>
      </c>
      <c r="CZ2" s="12">
        <v>6321</v>
      </c>
      <c r="DA2" s="14">
        <v>9690</v>
      </c>
      <c r="DB2" s="12">
        <v>3664</v>
      </c>
      <c r="DC2" s="14">
        <v>8904</v>
      </c>
      <c r="DD2" s="12">
        <v>3369</v>
      </c>
      <c r="DE2" s="14">
        <v>2513</v>
      </c>
      <c r="DF2" s="12">
        <v>701</v>
      </c>
      <c r="DG2" s="14">
        <v>6208</v>
      </c>
      <c r="DH2" s="12">
        <v>344</v>
      </c>
      <c r="DI2" s="14">
        <v>395489</v>
      </c>
      <c r="DJ2" s="12">
        <v>23154</v>
      </c>
      <c r="DK2" s="14">
        <v>116</v>
      </c>
      <c r="DL2" s="12">
        <v>289</v>
      </c>
      <c r="DM2" s="14">
        <v>2893</v>
      </c>
      <c r="DN2" s="12">
        <v>20887</v>
      </c>
      <c r="DO2" s="14">
        <v>1701</v>
      </c>
      <c r="DP2" s="12">
        <v>1843</v>
      </c>
      <c r="DQ2" s="14">
        <v>18752</v>
      </c>
      <c r="DR2" s="12">
        <v>53413</v>
      </c>
      <c r="DS2" s="14">
        <v>1557</v>
      </c>
      <c r="DT2" s="12">
        <v>3439</v>
      </c>
      <c r="DU2" s="14">
        <v>1132</v>
      </c>
      <c r="DV2" s="12">
        <v>41180</v>
      </c>
      <c r="DW2" s="14">
        <v>10213</v>
      </c>
      <c r="DX2" s="12">
        <v>9132</v>
      </c>
      <c r="DY2" s="14">
        <v>77058</v>
      </c>
      <c r="DZ2" s="12">
        <v>274289</v>
      </c>
      <c r="EA2" s="14">
        <v>61442</v>
      </c>
      <c r="EB2" s="12">
        <v>62</v>
      </c>
      <c r="EC2" s="14">
        <v>4548</v>
      </c>
      <c r="ED2" s="12">
        <v>389717</v>
      </c>
      <c r="EE2" s="14">
        <v>82040</v>
      </c>
      <c r="EF2" s="12">
        <v>43402</v>
      </c>
      <c r="EG2" s="14">
        <v>50299</v>
      </c>
      <c r="EH2" s="12">
        <v>109597</v>
      </c>
      <c r="EI2" s="14">
        <v>45902</v>
      </c>
      <c r="EJ2" s="12">
        <v>816680</v>
      </c>
      <c r="EK2" s="14">
        <v>1879</v>
      </c>
      <c r="EL2" s="12">
        <v>17</v>
      </c>
      <c r="EM2" s="14">
        <v>24</v>
      </c>
      <c r="EN2" s="12">
        <v>52</v>
      </c>
      <c r="EO2" s="14">
        <v>699</v>
      </c>
      <c r="EP2" s="12">
        <v>865</v>
      </c>
      <c r="EQ2" s="14">
        <v>268934</v>
      </c>
      <c r="ER2" s="12">
        <v>9764</v>
      </c>
      <c r="ES2" s="14">
        <v>24141</v>
      </c>
      <c r="ET2" s="12">
        <v>114</v>
      </c>
      <c r="EU2" s="14">
        <v>1783</v>
      </c>
      <c r="EV2" s="12">
        <v>50838</v>
      </c>
      <c r="EW2" s="14">
        <v>2181</v>
      </c>
      <c r="EX2" s="12">
        <v>2087</v>
      </c>
      <c r="EY2" s="14">
        <v>3196</v>
      </c>
      <c r="EZ2" s="12">
        <v>452529</v>
      </c>
      <c r="FA2" s="14">
        <v>14203</v>
      </c>
      <c r="FB2" s="12">
        <v>2305</v>
      </c>
      <c r="FC2" s="14">
        <v>272421</v>
      </c>
      <c r="FD2" s="12">
        <v>2805</v>
      </c>
      <c r="FE2" s="14">
        <v>11424</v>
      </c>
      <c r="FF2" s="12">
        <v>1483</v>
      </c>
      <c r="FG2" s="14">
        <v>79395</v>
      </c>
      <c r="FH2" s="12">
        <v>34477</v>
      </c>
      <c r="FI2" s="14">
        <v>674</v>
      </c>
      <c r="FJ2" s="12">
        <v>462</v>
      </c>
      <c r="FK2" s="14">
        <v>7235</v>
      </c>
      <c r="FL2" s="12">
        <v>509</v>
      </c>
      <c r="FM2" s="14">
        <v>3297</v>
      </c>
      <c r="FN2" s="12">
        <v>24</v>
      </c>
      <c r="FO2" s="14">
        <v>874</v>
      </c>
      <c r="FP2" s="12">
        <v>148</v>
      </c>
      <c r="FQ2" s="14">
        <v>1455</v>
      </c>
      <c r="FR2" s="12">
        <v>227019</v>
      </c>
      <c r="FS2" s="14">
        <v>4290259</v>
      </c>
      <c r="FT2" s="12">
        <v>1128</v>
      </c>
      <c r="FU2" s="14">
        <v>67096</v>
      </c>
      <c r="FV2" s="12">
        <v>59177</v>
      </c>
      <c r="FW2" s="14">
        <v>301708</v>
      </c>
      <c r="FX2" s="12">
        <v>1202</v>
      </c>
      <c r="FY2" s="14">
        <v>21209</v>
      </c>
      <c r="FZ2" s="12">
        <v>15988</v>
      </c>
      <c r="GA2" s="14">
        <v>431</v>
      </c>
      <c r="GB2" s="12">
        <v>10621</v>
      </c>
      <c r="GC2" s="14">
        <v>10</v>
      </c>
      <c r="GD2" s="12">
        <v>1691</v>
      </c>
      <c r="GE2" s="14">
        <v>4552</v>
      </c>
      <c r="GF2" s="19">
        <v>2704</v>
      </c>
    </row>
    <row r="3" spans="1:188" x14ac:dyDescent="0.35">
      <c r="A3" s="9" t="s">
        <v>2</v>
      </c>
      <c r="B3" s="12" t="s">
        <v>201</v>
      </c>
      <c r="C3" s="14">
        <v>144</v>
      </c>
      <c r="D3" s="12">
        <v>1163</v>
      </c>
      <c r="E3" s="14">
        <v>52</v>
      </c>
      <c r="F3" s="12">
        <v>41</v>
      </c>
      <c r="G3" s="14">
        <v>3</v>
      </c>
      <c r="H3" s="12">
        <v>3059</v>
      </c>
      <c r="I3" s="14">
        <v>711</v>
      </c>
      <c r="J3" s="12">
        <v>167</v>
      </c>
      <c r="K3" s="14">
        <v>713</v>
      </c>
      <c r="L3" s="12">
        <v>423</v>
      </c>
      <c r="M3" s="14">
        <v>11</v>
      </c>
      <c r="N3" s="12">
        <v>141</v>
      </c>
      <c r="O3" s="14">
        <v>2965</v>
      </c>
      <c r="P3" s="12">
        <v>7</v>
      </c>
      <c r="Q3" s="14">
        <v>538</v>
      </c>
      <c r="R3" s="12">
        <v>9822</v>
      </c>
      <c r="S3" s="14">
        <v>2</v>
      </c>
      <c r="T3" s="12">
        <v>35</v>
      </c>
      <c r="U3" s="14">
        <v>0</v>
      </c>
      <c r="V3" s="12">
        <v>2647</v>
      </c>
      <c r="W3" s="14">
        <v>294</v>
      </c>
      <c r="X3" s="12">
        <v>2</v>
      </c>
      <c r="Y3" s="14">
        <v>87618</v>
      </c>
      <c r="Z3" s="12">
        <v>3</v>
      </c>
      <c r="AA3" s="14">
        <v>347</v>
      </c>
      <c r="AB3" s="12">
        <v>53</v>
      </c>
      <c r="AC3" s="14">
        <v>6</v>
      </c>
      <c r="AD3" s="12">
        <v>1</v>
      </c>
      <c r="AE3" s="14">
        <v>22</v>
      </c>
      <c r="AF3" s="12">
        <v>0</v>
      </c>
      <c r="AG3" s="14">
        <v>391</v>
      </c>
      <c r="AH3" s="12">
        <v>8944</v>
      </c>
      <c r="AI3" s="14">
        <v>59</v>
      </c>
      <c r="AJ3" s="12">
        <v>75</v>
      </c>
      <c r="AK3" s="14">
        <v>9187</v>
      </c>
      <c r="AL3" s="12">
        <v>4656</v>
      </c>
      <c r="AM3" s="14">
        <v>8777</v>
      </c>
      <c r="AN3" s="12">
        <v>7</v>
      </c>
      <c r="AO3" s="14">
        <v>54</v>
      </c>
      <c r="AP3" s="12">
        <v>208</v>
      </c>
      <c r="AQ3" s="14">
        <v>115</v>
      </c>
      <c r="AR3" s="12">
        <v>96</v>
      </c>
      <c r="AS3" s="14">
        <v>139</v>
      </c>
      <c r="AT3" s="12">
        <v>87</v>
      </c>
      <c r="AU3" s="14">
        <v>19</v>
      </c>
      <c r="AV3" s="12">
        <v>373</v>
      </c>
      <c r="AW3" s="14">
        <v>613</v>
      </c>
      <c r="AX3" s="12">
        <v>58</v>
      </c>
      <c r="AY3" s="14">
        <v>0</v>
      </c>
      <c r="AZ3" s="12">
        <v>1083</v>
      </c>
      <c r="BA3" s="14">
        <v>5532</v>
      </c>
      <c r="BB3" s="12">
        <v>4652</v>
      </c>
      <c r="BC3" s="14">
        <v>408</v>
      </c>
      <c r="BD3" s="12">
        <v>51</v>
      </c>
      <c r="BE3" s="14">
        <v>0</v>
      </c>
      <c r="BF3" s="12">
        <v>69</v>
      </c>
      <c r="BG3" s="14">
        <v>34</v>
      </c>
      <c r="BH3" s="12">
        <v>228</v>
      </c>
      <c r="BI3" s="14">
        <v>0</v>
      </c>
      <c r="BJ3" s="12">
        <v>329</v>
      </c>
      <c r="BK3" s="14">
        <v>30212</v>
      </c>
      <c r="BL3" s="12">
        <v>49</v>
      </c>
      <c r="BM3" s="14">
        <v>8</v>
      </c>
      <c r="BN3" s="12">
        <v>16</v>
      </c>
      <c r="BO3" s="14">
        <v>9125</v>
      </c>
      <c r="BP3" s="12">
        <v>168</v>
      </c>
      <c r="BQ3" s="14">
        <v>202</v>
      </c>
      <c r="BR3" s="12">
        <v>0</v>
      </c>
      <c r="BS3" s="14">
        <v>0</v>
      </c>
      <c r="BT3" s="12">
        <v>1761</v>
      </c>
      <c r="BU3" s="14">
        <v>45</v>
      </c>
      <c r="BV3" s="12">
        <v>26</v>
      </c>
      <c r="BW3" s="14">
        <v>20</v>
      </c>
      <c r="BX3" s="12">
        <v>158</v>
      </c>
      <c r="BY3" s="14">
        <v>0</v>
      </c>
      <c r="BZ3" s="12">
        <v>1166</v>
      </c>
      <c r="CA3" s="14">
        <v>596</v>
      </c>
      <c r="CB3" s="12">
        <v>10</v>
      </c>
      <c r="CC3" s="14">
        <v>33408</v>
      </c>
      <c r="CD3" s="12">
        <v>4838</v>
      </c>
      <c r="CE3" s="14">
        <v>15912</v>
      </c>
      <c r="CF3" s="12">
        <v>4458</v>
      </c>
      <c r="CG3" s="14">
        <v>1764</v>
      </c>
      <c r="CH3" s="12">
        <v>474</v>
      </c>
      <c r="CI3" s="14">
        <v>35112</v>
      </c>
      <c r="CJ3" s="12">
        <v>10</v>
      </c>
      <c r="CK3" s="14">
        <v>998</v>
      </c>
      <c r="CL3" s="12">
        <v>11</v>
      </c>
      <c r="CM3" s="14">
        <v>585</v>
      </c>
      <c r="CN3" s="12">
        <v>285</v>
      </c>
      <c r="CO3" s="14">
        <v>185</v>
      </c>
      <c r="CP3" s="12">
        <v>438</v>
      </c>
      <c r="CQ3" s="14">
        <v>1301</v>
      </c>
      <c r="CR3" s="12">
        <v>0</v>
      </c>
      <c r="CS3" s="14">
        <v>31</v>
      </c>
      <c r="CT3" s="12">
        <v>51</v>
      </c>
      <c r="CU3" s="14">
        <v>12</v>
      </c>
      <c r="CV3" s="12">
        <v>72</v>
      </c>
      <c r="CW3" s="14">
        <v>64</v>
      </c>
      <c r="CX3" s="12">
        <v>1</v>
      </c>
      <c r="CY3" s="14">
        <v>80</v>
      </c>
      <c r="CZ3" s="12">
        <v>112</v>
      </c>
      <c r="DA3" s="14">
        <v>91</v>
      </c>
      <c r="DB3" s="12">
        <v>99</v>
      </c>
      <c r="DC3" s="14">
        <v>124</v>
      </c>
      <c r="DD3" s="12">
        <v>15</v>
      </c>
      <c r="DE3" s="14">
        <v>124</v>
      </c>
      <c r="DF3" s="12">
        <v>9</v>
      </c>
      <c r="DG3" s="14">
        <v>156</v>
      </c>
      <c r="DH3" s="12">
        <v>10</v>
      </c>
      <c r="DI3" s="14">
        <v>44022</v>
      </c>
      <c r="DJ3" s="12">
        <v>748</v>
      </c>
      <c r="DK3" s="14">
        <v>4</v>
      </c>
      <c r="DL3" s="12">
        <v>0</v>
      </c>
      <c r="DM3" s="14">
        <v>45</v>
      </c>
      <c r="DN3" s="12">
        <v>316</v>
      </c>
      <c r="DO3" s="14">
        <v>11</v>
      </c>
      <c r="DP3" s="12">
        <v>8</v>
      </c>
      <c r="DQ3" s="14">
        <v>48</v>
      </c>
      <c r="DR3" s="12">
        <v>6160</v>
      </c>
      <c r="DS3" s="14">
        <v>22</v>
      </c>
      <c r="DT3" s="12">
        <v>108</v>
      </c>
      <c r="DU3" s="14">
        <v>69</v>
      </c>
      <c r="DV3" s="12">
        <v>860</v>
      </c>
      <c r="DW3" s="14">
        <v>466</v>
      </c>
      <c r="DX3" s="12">
        <v>255</v>
      </c>
      <c r="DY3" s="14">
        <v>393</v>
      </c>
      <c r="DZ3" s="12">
        <v>5842</v>
      </c>
      <c r="EA3" s="14">
        <v>1322</v>
      </c>
      <c r="EB3" s="12">
        <v>0</v>
      </c>
      <c r="EC3" s="14">
        <v>43</v>
      </c>
      <c r="ED3" s="12">
        <v>18418</v>
      </c>
      <c r="EE3" s="14">
        <v>1945</v>
      </c>
      <c r="EF3" s="12">
        <v>1676</v>
      </c>
      <c r="EG3" s="14">
        <v>1719</v>
      </c>
      <c r="EH3" s="12">
        <v>165</v>
      </c>
      <c r="EI3" s="14">
        <v>2206</v>
      </c>
      <c r="EJ3" s="12">
        <v>13334</v>
      </c>
      <c r="EK3" s="14">
        <v>5</v>
      </c>
      <c r="EL3" s="12">
        <v>0</v>
      </c>
      <c r="EM3" s="14">
        <v>0</v>
      </c>
      <c r="EN3" s="12">
        <v>0</v>
      </c>
      <c r="EO3" s="14">
        <v>42</v>
      </c>
      <c r="EP3" s="12">
        <v>14</v>
      </c>
      <c r="EQ3" s="14">
        <v>2760</v>
      </c>
      <c r="ER3" s="12">
        <v>194</v>
      </c>
      <c r="ES3" s="14">
        <v>543</v>
      </c>
      <c r="ET3" s="12">
        <v>0</v>
      </c>
      <c r="EU3" s="14">
        <v>66</v>
      </c>
      <c r="EV3" s="12">
        <v>27</v>
      </c>
      <c r="EW3" s="14">
        <v>28</v>
      </c>
      <c r="EX3" s="12">
        <v>116</v>
      </c>
      <c r="EY3" s="14">
        <v>93</v>
      </c>
      <c r="EZ3" s="12">
        <v>7067</v>
      </c>
      <c r="FA3" s="14">
        <v>300</v>
      </c>
      <c r="FB3" s="12">
        <v>46</v>
      </c>
      <c r="FC3" s="14">
        <v>28432</v>
      </c>
      <c r="FD3" s="12">
        <v>11</v>
      </c>
      <c r="FE3" s="14">
        <v>720</v>
      </c>
      <c r="FF3" s="12">
        <v>24</v>
      </c>
      <c r="FG3" s="14">
        <v>5700</v>
      </c>
      <c r="FH3" s="12">
        <v>1978</v>
      </c>
      <c r="FI3" s="14">
        <v>40</v>
      </c>
      <c r="FJ3" s="12">
        <v>7</v>
      </c>
      <c r="FK3" s="14">
        <v>60</v>
      </c>
      <c r="FL3" s="12">
        <v>21</v>
      </c>
      <c r="FM3" s="14">
        <v>58</v>
      </c>
      <c r="FN3" s="12">
        <v>0</v>
      </c>
      <c r="FO3" s="14">
        <v>18</v>
      </c>
      <c r="FP3" s="12">
        <v>8</v>
      </c>
      <c r="FQ3" s="14">
        <v>50</v>
      </c>
      <c r="FR3" s="12">
        <v>5630</v>
      </c>
      <c r="FS3" s="14">
        <v>148011</v>
      </c>
      <c r="FT3" s="12">
        <v>2</v>
      </c>
      <c r="FU3" s="14">
        <v>1636</v>
      </c>
      <c r="FV3" s="12">
        <v>345</v>
      </c>
      <c r="FW3" s="14">
        <v>45844</v>
      </c>
      <c r="FX3" s="12">
        <v>35</v>
      </c>
      <c r="FY3" s="14">
        <v>121</v>
      </c>
      <c r="FZ3" s="12">
        <v>146</v>
      </c>
      <c r="GA3" s="14">
        <v>0</v>
      </c>
      <c r="GB3" s="12">
        <v>78</v>
      </c>
      <c r="GC3" s="14">
        <v>1</v>
      </c>
      <c r="GD3" s="12">
        <v>483</v>
      </c>
      <c r="GE3" s="14">
        <v>140</v>
      </c>
      <c r="GF3" s="19">
        <v>36</v>
      </c>
    </row>
    <row r="4" spans="1:188" x14ac:dyDescent="0.35">
      <c r="A4" s="9" t="s">
        <v>3</v>
      </c>
      <c r="B4" s="12">
        <v>25198</v>
      </c>
      <c r="C4" s="14">
        <v>2745</v>
      </c>
      <c r="D4" s="12">
        <v>18837</v>
      </c>
      <c r="E4" s="14">
        <v>803</v>
      </c>
      <c r="F4" s="12">
        <v>242</v>
      </c>
      <c r="G4" s="14">
        <v>65</v>
      </c>
      <c r="H4" s="12">
        <v>72575</v>
      </c>
      <c r="I4" s="14">
        <v>26665</v>
      </c>
      <c r="J4" s="12">
        <v>9311</v>
      </c>
      <c r="K4" s="14">
        <v>18246</v>
      </c>
      <c r="L4" s="12">
        <v>23242</v>
      </c>
      <c r="M4" s="14">
        <v>91</v>
      </c>
      <c r="N4" s="12">
        <v>36110</v>
      </c>
      <c r="O4" s="14">
        <v>125683</v>
      </c>
      <c r="P4" s="12">
        <v>94</v>
      </c>
      <c r="Q4" s="14">
        <v>60492</v>
      </c>
      <c r="R4" s="12">
        <v>17452</v>
      </c>
      <c r="S4" s="14">
        <v>26</v>
      </c>
      <c r="T4" s="12">
        <v>1036</v>
      </c>
      <c r="U4" s="14">
        <v>86</v>
      </c>
      <c r="V4" s="12">
        <v>21478</v>
      </c>
      <c r="W4" s="14">
        <v>4930</v>
      </c>
      <c r="X4" s="12">
        <v>63</v>
      </c>
      <c r="Y4" s="14">
        <v>1846641</v>
      </c>
      <c r="Z4" s="12">
        <v>138</v>
      </c>
      <c r="AA4" s="14">
        <v>5585</v>
      </c>
      <c r="AB4" s="12">
        <v>926</v>
      </c>
      <c r="AC4" s="14">
        <v>292</v>
      </c>
      <c r="AD4" s="12">
        <v>301</v>
      </c>
      <c r="AE4" s="14">
        <v>1550</v>
      </c>
      <c r="AF4" s="12">
        <v>147</v>
      </c>
      <c r="AG4" s="14">
        <v>14539</v>
      </c>
      <c r="AH4" s="12">
        <v>0</v>
      </c>
      <c r="AI4" s="14">
        <v>1546</v>
      </c>
      <c r="AJ4" s="12">
        <v>810</v>
      </c>
      <c r="AK4" s="14">
        <v>319954</v>
      </c>
      <c r="AL4" s="12">
        <v>78869</v>
      </c>
      <c r="AM4" s="14">
        <v>131161</v>
      </c>
      <c r="AN4" s="12">
        <v>328</v>
      </c>
      <c r="AO4" s="14">
        <v>829</v>
      </c>
      <c r="AP4" s="12">
        <v>5700</v>
      </c>
      <c r="AQ4" s="14">
        <v>3824</v>
      </c>
      <c r="AR4" s="12">
        <v>10361</v>
      </c>
      <c r="AS4" s="14">
        <v>3936</v>
      </c>
      <c r="AT4" s="12">
        <v>2351</v>
      </c>
      <c r="AU4" s="14">
        <v>852</v>
      </c>
      <c r="AV4" s="12">
        <v>11428</v>
      </c>
      <c r="AW4" s="14">
        <v>12605</v>
      </c>
      <c r="AX4" s="12">
        <v>4977</v>
      </c>
      <c r="AY4" s="14">
        <v>18</v>
      </c>
      <c r="AZ4" s="12">
        <v>30204</v>
      </c>
      <c r="BA4" s="14">
        <v>34896</v>
      </c>
      <c r="BB4" s="12">
        <v>34838</v>
      </c>
      <c r="BC4" s="14">
        <v>7778</v>
      </c>
      <c r="BD4" s="12">
        <v>842</v>
      </c>
      <c r="BE4" s="14">
        <v>191</v>
      </c>
      <c r="BF4" s="12">
        <v>1923</v>
      </c>
      <c r="BG4" s="14">
        <v>1025</v>
      </c>
      <c r="BH4" s="12">
        <v>6386</v>
      </c>
      <c r="BI4" s="14">
        <v>18</v>
      </c>
      <c r="BJ4" s="12">
        <v>6920</v>
      </c>
      <c r="BK4" s="14">
        <v>81212</v>
      </c>
      <c r="BL4" s="12">
        <v>4682</v>
      </c>
      <c r="BM4" s="14">
        <v>66</v>
      </c>
      <c r="BN4" s="12">
        <v>922</v>
      </c>
      <c r="BO4" s="14">
        <v>190314</v>
      </c>
      <c r="BP4" s="12">
        <v>29801</v>
      </c>
      <c r="BQ4" s="14">
        <v>1374</v>
      </c>
      <c r="BR4" s="12">
        <v>13</v>
      </c>
      <c r="BS4" s="14">
        <v>23</v>
      </c>
      <c r="BT4" s="12">
        <v>32455</v>
      </c>
      <c r="BU4" s="14">
        <v>6257</v>
      </c>
      <c r="BV4" s="12">
        <v>803</v>
      </c>
      <c r="BW4" s="14">
        <v>181</v>
      </c>
      <c r="BX4" s="12">
        <v>4365</v>
      </c>
      <c r="BY4" s="14">
        <v>12</v>
      </c>
      <c r="BZ4" s="12">
        <v>5039</v>
      </c>
      <c r="CA4" s="14">
        <v>3329</v>
      </c>
      <c r="CB4" s="12">
        <v>1823</v>
      </c>
      <c r="CC4" s="14">
        <v>951166</v>
      </c>
      <c r="CD4" s="12">
        <v>58173</v>
      </c>
      <c r="CE4" s="14">
        <v>255144</v>
      </c>
      <c r="CF4" s="12">
        <v>77144</v>
      </c>
      <c r="CG4" s="14">
        <v>23364</v>
      </c>
      <c r="CH4" s="12">
        <v>27133</v>
      </c>
      <c r="CI4" s="14">
        <v>198593</v>
      </c>
      <c r="CJ4" s="12">
        <v>714</v>
      </c>
      <c r="CK4" s="14">
        <v>21970</v>
      </c>
      <c r="CL4" s="12">
        <v>1041</v>
      </c>
      <c r="CM4" s="14">
        <v>54404</v>
      </c>
      <c r="CN4" s="12">
        <v>7833</v>
      </c>
      <c r="CO4" s="14">
        <v>4027</v>
      </c>
      <c r="CP4" s="12">
        <v>55057</v>
      </c>
      <c r="CQ4" s="14">
        <v>21205</v>
      </c>
      <c r="CR4" s="12">
        <v>19</v>
      </c>
      <c r="CS4" s="14">
        <v>1045</v>
      </c>
      <c r="CT4" s="12">
        <v>1709</v>
      </c>
      <c r="CU4" s="14">
        <v>128</v>
      </c>
      <c r="CV4" s="12">
        <v>646</v>
      </c>
      <c r="CW4" s="14">
        <v>577</v>
      </c>
      <c r="CX4" s="12">
        <v>81</v>
      </c>
      <c r="CY4" s="14">
        <v>1620</v>
      </c>
      <c r="CZ4" s="12">
        <v>4825</v>
      </c>
      <c r="DA4" s="14">
        <v>6260</v>
      </c>
      <c r="DB4" s="12">
        <v>1645</v>
      </c>
      <c r="DC4" s="14">
        <v>8601</v>
      </c>
      <c r="DD4" s="12">
        <v>2547</v>
      </c>
      <c r="DE4" s="14">
        <v>1913</v>
      </c>
      <c r="DF4" s="12">
        <v>665</v>
      </c>
      <c r="DG4" s="14">
        <v>4653</v>
      </c>
      <c r="DH4" s="12">
        <v>332</v>
      </c>
      <c r="DI4" s="14">
        <v>303810</v>
      </c>
      <c r="DJ4" s="12">
        <v>16154</v>
      </c>
      <c r="DK4" s="14">
        <v>104</v>
      </c>
      <c r="DL4" s="12">
        <v>222</v>
      </c>
      <c r="DM4" s="14">
        <v>809</v>
      </c>
      <c r="DN4" s="12">
        <v>16553</v>
      </c>
      <c r="DO4" s="14">
        <v>0</v>
      </c>
      <c r="DP4" s="12">
        <v>101</v>
      </c>
      <c r="DQ4" s="14">
        <v>13754</v>
      </c>
      <c r="DR4" s="12">
        <v>189</v>
      </c>
      <c r="DS4" s="14">
        <v>1514</v>
      </c>
      <c r="DT4" s="12">
        <v>2492</v>
      </c>
      <c r="DU4" s="14">
        <v>1027</v>
      </c>
      <c r="DV4" s="12">
        <v>18203</v>
      </c>
      <c r="DW4" s="14">
        <v>5564</v>
      </c>
      <c r="DX4" s="12">
        <v>8752</v>
      </c>
      <c r="DY4" s="14">
        <v>57028</v>
      </c>
      <c r="DZ4" s="12">
        <v>241026</v>
      </c>
      <c r="EA4" s="14">
        <v>35086</v>
      </c>
      <c r="EB4" s="12">
        <v>11</v>
      </c>
      <c r="EC4" s="14">
        <v>2905</v>
      </c>
      <c r="ED4" s="12">
        <v>272547</v>
      </c>
      <c r="EE4" s="14">
        <v>26446</v>
      </c>
      <c r="EF4" s="12">
        <v>32856</v>
      </c>
      <c r="EG4" s="14">
        <v>35375</v>
      </c>
      <c r="EH4" s="12">
        <v>106328</v>
      </c>
      <c r="EI4" s="14">
        <v>25794</v>
      </c>
      <c r="EJ4" s="12">
        <v>602249</v>
      </c>
      <c r="EK4" s="14">
        <v>975</v>
      </c>
      <c r="EL4" s="12">
        <v>15</v>
      </c>
      <c r="EM4" s="14">
        <v>22</v>
      </c>
      <c r="EN4" s="12">
        <v>39</v>
      </c>
      <c r="EO4" s="14">
        <v>657</v>
      </c>
      <c r="EP4" s="12">
        <v>734</v>
      </c>
      <c r="EQ4" s="14">
        <v>222936</v>
      </c>
      <c r="ER4" s="12">
        <v>6477</v>
      </c>
      <c r="ES4" s="14">
        <v>0</v>
      </c>
      <c r="ET4" s="12">
        <v>39</v>
      </c>
      <c r="EU4" s="14">
        <v>1317</v>
      </c>
      <c r="EV4" s="12">
        <v>45692</v>
      </c>
      <c r="EW4" s="14">
        <v>1616</v>
      </c>
      <c r="EX4" s="12">
        <v>1733</v>
      </c>
      <c r="EY4" s="14">
        <v>1543</v>
      </c>
      <c r="EZ4" s="12">
        <v>274925</v>
      </c>
      <c r="FA4" s="14">
        <v>13007</v>
      </c>
      <c r="FB4" s="12">
        <v>1175</v>
      </c>
      <c r="FC4" s="14">
        <v>150376</v>
      </c>
      <c r="FD4" s="12">
        <v>2121</v>
      </c>
      <c r="FE4" s="14">
        <v>5939</v>
      </c>
      <c r="FF4" s="12">
        <v>925</v>
      </c>
      <c r="FG4" s="14">
        <v>0</v>
      </c>
      <c r="FH4" s="12">
        <v>30900</v>
      </c>
      <c r="FI4" s="14">
        <v>0</v>
      </c>
      <c r="FJ4" s="12">
        <v>440</v>
      </c>
      <c r="FK4" s="14">
        <v>6028</v>
      </c>
      <c r="FL4" s="12">
        <v>183</v>
      </c>
      <c r="FM4" s="14">
        <v>3111</v>
      </c>
      <c r="FN4" s="12">
        <v>0</v>
      </c>
      <c r="FO4" s="14">
        <v>607</v>
      </c>
      <c r="FP4" s="12">
        <v>128</v>
      </c>
      <c r="FQ4" s="14">
        <v>1157</v>
      </c>
      <c r="FR4" s="12">
        <v>210469</v>
      </c>
      <c r="FS4" s="14">
        <v>1325804</v>
      </c>
      <c r="FT4" s="12">
        <v>986</v>
      </c>
      <c r="FU4" s="14">
        <v>37202</v>
      </c>
      <c r="FV4" s="12">
        <v>52510</v>
      </c>
      <c r="FW4" s="14">
        <v>1437</v>
      </c>
      <c r="FX4" s="12">
        <v>951</v>
      </c>
      <c r="FY4" s="14">
        <v>11674</v>
      </c>
      <c r="FZ4" s="12">
        <v>9959</v>
      </c>
      <c r="GA4" s="14">
        <v>365</v>
      </c>
      <c r="GB4" s="12">
        <v>3752</v>
      </c>
      <c r="GC4" s="14">
        <v>8</v>
      </c>
      <c r="GD4" s="12">
        <v>833</v>
      </c>
      <c r="GE4" s="14">
        <v>2815</v>
      </c>
      <c r="GF4" s="19">
        <v>542</v>
      </c>
    </row>
    <row r="5" spans="1:188" x14ac:dyDescent="0.35">
      <c r="A5" s="9" t="s">
        <v>4</v>
      </c>
      <c r="B5" s="12" t="s">
        <v>202</v>
      </c>
      <c r="C5" s="14">
        <v>1991</v>
      </c>
      <c r="D5" s="12">
        <v>7973</v>
      </c>
      <c r="E5" s="14">
        <v>52</v>
      </c>
      <c r="F5" s="12">
        <v>667</v>
      </c>
      <c r="G5" s="14">
        <v>18</v>
      </c>
      <c r="H5" s="12">
        <v>91782</v>
      </c>
      <c r="I5" s="14">
        <v>10014</v>
      </c>
      <c r="J5" s="12">
        <v>5825</v>
      </c>
      <c r="K5" s="14">
        <v>1599</v>
      </c>
      <c r="L5" s="12">
        <v>6781</v>
      </c>
      <c r="M5" s="14">
        <v>280</v>
      </c>
      <c r="N5" s="12">
        <v>3231</v>
      </c>
      <c r="O5" s="14">
        <v>97577</v>
      </c>
      <c r="P5" s="12">
        <v>9</v>
      </c>
      <c r="Q5" s="14">
        <v>6221</v>
      </c>
      <c r="R5" s="12">
        <v>39154</v>
      </c>
      <c r="S5" s="14">
        <v>20</v>
      </c>
      <c r="T5" s="12">
        <v>699</v>
      </c>
      <c r="U5" s="14">
        <v>13</v>
      </c>
      <c r="V5" s="12">
        <v>47056</v>
      </c>
      <c r="W5" s="14">
        <v>5274</v>
      </c>
      <c r="X5" s="12">
        <v>674</v>
      </c>
      <c r="Y5" s="14">
        <v>508116</v>
      </c>
      <c r="Z5" s="12">
        <v>0</v>
      </c>
      <c r="AA5" s="14">
        <v>4689</v>
      </c>
      <c r="AB5" s="12">
        <v>121</v>
      </c>
      <c r="AC5" s="14">
        <v>52</v>
      </c>
      <c r="AD5" s="12">
        <v>76</v>
      </c>
      <c r="AE5" s="14">
        <v>756</v>
      </c>
      <c r="AF5" s="12">
        <v>79</v>
      </c>
      <c r="AG5" s="14">
        <v>2180</v>
      </c>
      <c r="AH5" s="12">
        <v>107514</v>
      </c>
      <c r="AI5" s="14">
        <v>2994</v>
      </c>
      <c r="AJ5" s="12">
        <v>37</v>
      </c>
      <c r="AK5" s="14">
        <v>18782</v>
      </c>
      <c r="AL5" s="12">
        <v>3258</v>
      </c>
      <c r="AM5" s="14">
        <v>117163</v>
      </c>
      <c r="AN5" s="12">
        <v>19</v>
      </c>
      <c r="AO5" s="14">
        <v>2317</v>
      </c>
      <c r="AP5" s="12">
        <v>2936</v>
      </c>
      <c r="AQ5" s="14">
        <v>11902</v>
      </c>
      <c r="AR5" s="12">
        <v>5198</v>
      </c>
      <c r="AS5" s="14">
        <v>806</v>
      </c>
      <c r="AT5" s="12">
        <v>94</v>
      </c>
      <c r="AU5" s="14">
        <v>189</v>
      </c>
      <c r="AV5" s="12">
        <v>3715</v>
      </c>
      <c r="AW5" s="14">
        <v>543</v>
      </c>
      <c r="AX5" s="12">
        <v>24</v>
      </c>
      <c r="AY5" s="14">
        <v>0</v>
      </c>
      <c r="AZ5" s="12">
        <v>32869</v>
      </c>
      <c r="BA5" s="14">
        <v>40733</v>
      </c>
      <c r="BB5" s="12">
        <v>52992</v>
      </c>
      <c r="BC5" s="14">
        <v>6849</v>
      </c>
      <c r="BD5" s="12">
        <v>2178</v>
      </c>
      <c r="BE5" s="14">
        <v>74</v>
      </c>
      <c r="BF5" s="12">
        <v>42</v>
      </c>
      <c r="BG5" s="14">
        <v>1257</v>
      </c>
      <c r="BH5" s="12">
        <v>7933</v>
      </c>
      <c r="BI5" s="14">
        <v>9</v>
      </c>
      <c r="BJ5" s="12">
        <v>149</v>
      </c>
      <c r="BK5" s="14">
        <v>108928</v>
      </c>
      <c r="BL5" s="12">
        <v>2458</v>
      </c>
      <c r="BM5" s="14">
        <v>252</v>
      </c>
      <c r="BN5" s="12">
        <v>199</v>
      </c>
      <c r="BO5" s="14">
        <v>7673</v>
      </c>
      <c r="BP5" s="12">
        <v>3655</v>
      </c>
      <c r="BQ5" s="14">
        <v>2651</v>
      </c>
      <c r="BR5" s="12">
        <v>1</v>
      </c>
      <c r="BS5" s="14">
        <v>0</v>
      </c>
      <c r="BT5" s="12">
        <v>11093</v>
      </c>
      <c r="BU5" s="14">
        <v>753</v>
      </c>
      <c r="BV5" s="12">
        <v>1125</v>
      </c>
      <c r="BW5" s="14">
        <v>188</v>
      </c>
      <c r="BX5" s="12">
        <v>2817</v>
      </c>
      <c r="BY5" s="14">
        <v>0</v>
      </c>
      <c r="BZ5" s="12">
        <v>33536</v>
      </c>
      <c r="CA5" s="14">
        <v>523</v>
      </c>
      <c r="CB5" s="12">
        <v>21</v>
      </c>
      <c r="CC5" s="14">
        <v>495499</v>
      </c>
      <c r="CD5" s="12">
        <v>37292</v>
      </c>
      <c r="CE5" s="14">
        <v>22550</v>
      </c>
      <c r="CF5" s="12">
        <v>30983</v>
      </c>
      <c r="CG5" s="14">
        <v>764</v>
      </c>
      <c r="CH5" s="12">
        <v>36378</v>
      </c>
      <c r="CI5" s="14">
        <v>12581</v>
      </c>
      <c r="CJ5" s="12">
        <v>129</v>
      </c>
      <c r="CK5" s="14">
        <v>8174</v>
      </c>
      <c r="CL5" s="12">
        <v>124</v>
      </c>
      <c r="CM5" s="14">
        <v>29659</v>
      </c>
      <c r="CN5" s="12">
        <v>9857</v>
      </c>
      <c r="CO5" s="14">
        <v>3201</v>
      </c>
      <c r="CP5" s="12">
        <v>8884</v>
      </c>
      <c r="CQ5" s="14">
        <v>10790</v>
      </c>
      <c r="CR5" s="12">
        <v>1</v>
      </c>
      <c r="CS5" s="14">
        <v>143</v>
      </c>
      <c r="CT5" s="12">
        <v>2122</v>
      </c>
      <c r="CU5" s="14">
        <v>365</v>
      </c>
      <c r="CV5" s="12">
        <v>449</v>
      </c>
      <c r="CW5" s="14">
        <v>2186</v>
      </c>
      <c r="CX5" s="12">
        <v>4</v>
      </c>
      <c r="CY5" s="14">
        <v>319</v>
      </c>
      <c r="CZ5" s="12">
        <v>1384</v>
      </c>
      <c r="DA5" s="14">
        <v>3339</v>
      </c>
      <c r="DB5" s="12">
        <v>1920</v>
      </c>
      <c r="DC5" s="14">
        <v>179</v>
      </c>
      <c r="DD5" s="12">
        <v>807</v>
      </c>
      <c r="DE5" s="14">
        <v>476</v>
      </c>
      <c r="DF5" s="12">
        <v>27</v>
      </c>
      <c r="DG5" s="14">
        <v>1399</v>
      </c>
      <c r="DH5" s="12">
        <v>2</v>
      </c>
      <c r="DI5" s="14">
        <v>47657</v>
      </c>
      <c r="DJ5" s="12">
        <v>6252</v>
      </c>
      <c r="DK5" s="14">
        <v>8</v>
      </c>
      <c r="DL5" s="12">
        <v>67</v>
      </c>
      <c r="DM5" s="14">
        <v>2039</v>
      </c>
      <c r="DN5" s="12">
        <v>4018</v>
      </c>
      <c r="DO5" s="14">
        <v>1690</v>
      </c>
      <c r="DP5" s="12">
        <v>1734</v>
      </c>
      <c r="DQ5" s="14">
        <v>4950</v>
      </c>
      <c r="DR5" s="12">
        <v>47064</v>
      </c>
      <c r="DS5" s="14">
        <v>21</v>
      </c>
      <c r="DT5" s="12">
        <v>839</v>
      </c>
      <c r="DU5" s="14">
        <v>36</v>
      </c>
      <c r="DV5" s="12">
        <v>22117</v>
      </c>
      <c r="DW5" s="14">
        <v>4183</v>
      </c>
      <c r="DX5" s="12">
        <v>125</v>
      </c>
      <c r="DY5" s="14">
        <v>19637</v>
      </c>
      <c r="DZ5" s="12">
        <v>27421</v>
      </c>
      <c r="EA5" s="14">
        <v>25034</v>
      </c>
      <c r="EB5" s="12">
        <v>51</v>
      </c>
      <c r="EC5" s="14">
        <v>1600</v>
      </c>
      <c r="ED5" s="12">
        <v>98752</v>
      </c>
      <c r="EE5" s="14">
        <v>53649</v>
      </c>
      <c r="EF5" s="12">
        <v>8870</v>
      </c>
      <c r="EG5" s="14">
        <v>13205</v>
      </c>
      <c r="EH5" s="12">
        <v>3104</v>
      </c>
      <c r="EI5" s="14">
        <v>17902</v>
      </c>
      <c r="EJ5" s="12">
        <v>201097</v>
      </c>
      <c r="EK5" s="14">
        <v>899</v>
      </c>
      <c r="EL5" s="12">
        <v>2</v>
      </c>
      <c r="EM5" s="14">
        <v>2</v>
      </c>
      <c r="EN5" s="12">
        <v>13</v>
      </c>
      <c r="EO5" s="14">
        <v>0</v>
      </c>
      <c r="EP5" s="12">
        <v>117</v>
      </c>
      <c r="EQ5" s="14">
        <v>43238</v>
      </c>
      <c r="ER5" s="12">
        <v>3093</v>
      </c>
      <c r="ES5" s="14">
        <v>23598</v>
      </c>
      <c r="ET5" s="12">
        <v>75</v>
      </c>
      <c r="EU5" s="14">
        <v>400</v>
      </c>
      <c r="EV5" s="12">
        <v>5119</v>
      </c>
      <c r="EW5" s="14">
        <v>537</v>
      </c>
      <c r="EX5" s="12">
        <v>238</v>
      </c>
      <c r="EY5" s="14">
        <v>1560</v>
      </c>
      <c r="EZ5" s="12">
        <v>170537</v>
      </c>
      <c r="FA5" s="14">
        <v>896</v>
      </c>
      <c r="FB5" s="12">
        <v>1084</v>
      </c>
      <c r="FC5" s="14">
        <v>93613</v>
      </c>
      <c r="FD5" s="12">
        <v>673</v>
      </c>
      <c r="FE5" s="14">
        <v>4765</v>
      </c>
      <c r="FF5" s="12">
        <v>534</v>
      </c>
      <c r="FG5" s="14">
        <v>73695</v>
      </c>
      <c r="FH5" s="12">
        <v>1599</v>
      </c>
      <c r="FI5" s="14">
        <v>634</v>
      </c>
      <c r="FJ5" s="12">
        <v>15</v>
      </c>
      <c r="FK5" s="14">
        <v>1147</v>
      </c>
      <c r="FL5" s="12">
        <v>305</v>
      </c>
      <c r="FM5" s="14">
        <v>128</v>
      </c>
      <c r="FN5" s="12">
        <v>24</v>
      </c>
      <c r="FO5" s="14">
        <v>249</v>
      </c>
      <c r="FP5" s="12">
        <v>12</v>
      </c>
      <c r="FQ5" s="14">
        <v>248</v>
      </c>
      <c r="FR5" s="12">
        <v>10920</v>
      </c>
      <c r="FS5" s="14">
        <v>2816444</v>
      </c>
      <c r="FT5" s="12">
        <v>140</v>
      </c>
      <c r="FU5" s="14">
        <v>28258</v>
      </c>
      <c r="FV5" s="12">
        <v>6322</v>
      </c>
      <c r="FW5" s="14">
        <v>254427</v>
      </c>
      <c r="FX5" s="12">
        <v>216</v>
      </c>
      <c r="FY5" s="14">
        <v>9414</v>
      </c>
      <c r="FZ5" s="12">
        <v>5883</v>
      </c>
      <c r="GA5" s="14">
        <v>66</v>
      </c>
      <c r="GB5" s="12">
        <v>6791</v>
      </c>
      <c r="GC5" s="14">
        <v>1</v>
      </c>
      <c r="GD5" s="12">
        <v>375</v>
      </c>
      <c r="GE5" s="14">
        <v>1597</v>
      </c>
      <c r="GF5" s="19">
        <v>2126</v>
      </c>
    </row>
    <row r="6" spans="1:188" x14ac:dyDescent="0.35">
      <c r="A6" s="10" t="s">
        <v>192</v>
      </c>
      <c r="B6" s="12" t="s">
        <v>203</v>
      </c>
      <c r="C6" s="14">
        <v>2877470</v>
      </c>
      <c r="D6" s="12">
        <v>43926079</v>
      </c>
      <c r="E6" s="14">
        <v>77278</v>
      </c>
      <c r="F6" s="12">
        <v>32956300</v>
      </c>
      <c r="G6" s="14">
        <v>98010</v>
      </c>
      <c r="H6" s="12">
        <v>45236884</v>
      </c>
      <c r="I6" s="14">
        <v>2963811</v>
      </c>
      <c r="J6" s="12">
        <v>25528864</v>
      </c>
      <c r="K6" s="14">
        <v>9011577</v>
      </c>
      <c r="L6" s="12">
        <v>10148243</v>
      </c>
      <c r="M6" s="14">
        <v>393616</v>
      </c>
      <c r="N6" s="12">
        <v>1706669</v>
      </c>
      <c r="O6" s="14">
        <v>164851401</v>
      </c>
      <c r="P6" s="12">
        <v>287411</v>
      </c>
      <c r="Q6" s="14">
        <v>9449001</v>
      </c>
      <c r="R6" s="12">
        <v>11594739</v>
      </c>
      <c r="S6" s="14">
        <v>398312</v>
      </c>
      <c r="T6" s="12">
        <v>12151976</v>
      </c>
      <c r="U6" s="14">
        <v>772443</v>
      </c>
      <c r="V6" s="12">
        <v>11688459</v>
      </c>
      <c r="W6" s="14">
        <v>3278650</v>
      </c>
      <c r="X6" s="12">
        <v>2356075</v>
      </c>
      <c r="Y6" s="14">
        <v>212710692</v>
      </c>
      <c r="Z6" s="12">
        <v>437893</v>
      </c>
      <c r="AA6" s="14">
        <v>6942854</v>
      </c>
      <c r="AB6" s="12">
        <v>20954852</v>
      </c>
      <c r="AC6" s="14">
        <v>54446389</v>
      </c>
      <c r="AD6" s="12">
        <v>11922216</v>
      </c>
      <c r="AE6" s="14">
        <v>556581</v>
      </c>
      <c r="AF6" s="12">
        <v>16741375</v>
      </c>
      <c r="AG6" s="14">
        <v>26606188</v>
      </c>
      <c r="AH6" s="12">
        <v>37775022</v>
      </c>
      <c r="AI6" s="14">
        <v>4837752</v>
      </c>
      <c r="AJ6" s="16" t="s">
        <v>204</v>
      </c>
      <c r="AK6" s="14">
        <v>19132514</v>
      </c>
      <c r="AL6" s="16">
        <v>1411778724</v>
      </c>
      <c r="AM6" s="14">
        <v>50936262</v>
      </c>
      <c r="AN6" s="12">
        <v>871326</v>
      </c>
      <c r="AO6" s="14">
        <v>5530506</v>
      </c>
      <c r="AP6" s="16">
        <v>96076573</v>
      </c>
      <c r="AQ6" s="14">
        <v>5098730</v>
      </c>
      <c r="AR6" s="16">
        <v>26172000</v>
      </c>
      <c r="AS6" s="14">
        <v>4102577</v>
      </c>
      <c r="AT6" s="12">
        <v>11325899</v>
      </c>
      <c r="AU6" s="14">
        <v>1208238</v>
      </c>
      <c r="AV6" s="12">
        <v>10711019</v>
      </c>
      <c r="AW6" s="14">
        <v>5794279</v>
      </c>
      <c r="AX6" s="12">
        <v>989387</v>
      </c>
      <c r="AY6" s="14">
        <v>72004</v>
      </c>
      <c r="AZ6" s="12">
        <v>10858648</v>
      </c>
      <c r="BA6" s="14">
        <v>17668824</v>
      </c>
      <c r="BB6" s="12">
        <v>102516525</v>
      </c>
      <c r="BC6" s="14">
        <v>6489514</v>
      </c>
      <c r="BD6" s="12">
        <v>1407001</v>
      </c>
      <c r="BE6" s="14">
        <v>3551175</v>
      </c>
      <c r="BF6" s="12">
        <v>1326627</v>
      </c>
      <c r="BG6" s="14">
        <v>1161348</v>
      </c>
      <c r="BH6" s="12">
        <v>115223736</v>
      </c>
      <c r="BI6" s="14">
        <v>897095</v>
      </c>
      <c r="BJ6" s="12">
        <v>5541604</v>
      </c>
      <c r="BK6" s="14">
        <v>65288306</v>
      </c>
      <c r="BL6" s="12">
        <v>2230563</v>
      </c>
      <c r="BM6" s="14">
        <v>2422754</v>
      </c>
      <c r="BN6" s="12">
        <v>3988368</v>
      </c>
      <c r="BO6" s="14">
        <v>83811260</v>
      </c>
      <c r="BP6" s="12">
        <v>31133483</v>
      </c>
      <c r="BQ6" s="14">
        <v>10417673</v>
      </c>
      <c r="BR6" s="12">
        <v>56780</v>
      </c>
      <c r="BS6" s="14">
        <v>112576</v>
      </c>
      <c r="BT6" s="12">
        <v>17946899</v>
      </c>
      <c r="BU6" s="14">
        <v>13164905</v>
      </c>
      <c r="BV6" s="12">
        <v>1972277</v>
      </c>
      <c r="BW6" s="14">
        <v>786936</v>
      </c>
      <c r="BX6" s="12">
        <v>11416103</v>
      </c>
      <c r="BY6" s="17">
        <v>528</v>
      </c>
      <c r="BZ6" s="16">
        <v>10012084</v>
      </c>
      <c r="CA6" s="14">
        <v>9657785</v>
      </c>
      <c r="CB6" s="12">
        <v>341465</v>
      </c>
      <c r="CC6" s="14">
        <v>1381344997</v>
      </c>
      <c r="CD6" s="12">
        <v>273808365</v>
      </c>
      <c r="CE6" s="14">
        <v>84097623</v>
      </c>
      <c r="CF6" s="12">
        <v>40306025</v>
      </c>
      <c r="CG6" s="14">
        <v>4943200</v>
      </c>
      <c r="CH6" s="12">
        <v>9197590</v>
      </c>
      <c r="CI6" s="14">
        <v>60452568</v>
      </c>
      <c r="CJ6" s="12">
        <v>2962478</v>
      </c>
      <c r="CK6" s="14">
        <v>126435859</v>
      </c>
      <c r="CL6" s="12">
        <v>10213138</v>
      </c>
      <c r="CM6" s="14">
        <v>18798667</v>
      </c>
      <c r="CN6" s="12">
        <v>53881160</v>
      </c>
      <c r="CO6" s="18">
        <v>1790152</v>
      </c>
      <c r="CP6" s="12">
        <v>4276658</v>
      </c>
      <c r="CQ6" s="14">
        <v>6534479</v>
      </c>
      <c r="CR6" s="12">
        <v>7285750</v>
      </c>
      <c r="CS6" s="14">
        <v>1883936</v>
      </c>
      <c r="CT6" s="12">
        <v>6822220</v>
      </c>
      <c r="CU6" s="14">
        <v>2143943</v>
      </c>
      <c r="CV6" s="12">
        <v>5068618</v>
      </c>
      <c r="CW6" s="14">
        <v>6880353</v>
      </c>
      <c r="CX6" s="12">
        <v>38139</v>
      </c>
      <c r="CY6" s="14">
        <v>2718121</v>
      </c>
      <c r="CZ6" s="12">
        <v>626952</v>
      </c>
      <c r="DA6" s="14">
        <v>27755708</v>
      </c>
      <c r="DB6" s="12">
        <v>19174839</v>
      </c>
      <c r="DC6" s="14">
        <v>32406372</v>
      </c>
      <c r="DD6" s="12">
        <v>541448</v>
      </c>
      <c r="DE6" s="14">
        <v>20302901</v>
      </c>
      <c r="DF6" s="12">
        <v>441663</v>
      </c>
      <c r="DG6" s="14">
        <v>4660728</v>
      </c>
      <c r="DH6" s="12">
        <v>1271985</v>
      </c>
      <c r="DI6" s="14">
        <v>129066160</v>
      </c>
      <c r="DJ6" s="12">
        <v>4032983</v>
      </c>
      <c r="DK6" s="14">
        <v>39270</v>
      </c>
      <c r="DL6" s="12">
        <v>3283344</v>
      </c>
      <c r="DM6" s="14">
        <v>628074</v>
      </c>
      <c r="DN6" s="12">
        <v>36953359</v>
      </c>
      <c r="DO6" s="14">
        <v>31333962</v>
      </c>
      <c r="DP6" s="12">
        <v>2545264</v>
      </c>
      <c r="DQ6" s="14">
        <v>29186486</v>
      </c>
      <c r="DR6" s="12">
        <v>17138756</v>
      </c>
      <c r="DS6" s="14">
        <v>5002100</v>
      </c>
      <c r="DT6" s="12">
        <v>6632263</v>
      </c>
      <c r="DU6" s="14">
        <v>24281433</v>
      </c>
      <c r="DV6" s="12">
        <v>206606300</v>
      </c>
      <c r="DW6" s="14">
        <v>2083365</v>
      </c>
      <c r="DX6" s="12">
        <v>5425471</v>
      </c>
      <c r="DY6" s="14">
        <v>5118446</v>
      </c>
      <c r="DZ6" s="12">
        <v>221295851</v>
      </c>
      <c r="EA6" s="14">
        <v>5112340</v>
      </c>
      <c r="EB6" s="12">
        <v>8963009</v>
      </c>
      <c r="EC6" s="14">
        <v>7141091</v>
      </c>
      <c r="ED6" s="12">
        <v>33016319</v>
      </c>
      <c r="EE6" s="14">
        <v>109722719</v>
      </c>
      <c r="EF6" s="12">
        <v>37842302</v>
      </c>
      <c r="EG6" s="14">
        <v>10193593</v>
      </c>
      <c r="EH6" s="12">
        <v>2807805</v>
      </c>
      <c r="EI6" s="14">
        <v>19224023</v>
      </c>
      <c r="EJ6" s="12">
        <v>145940924</v>
      </c>
      <c r="EK6" s="14">
        <v>12981546</v>
      </c>
      <c r="EL6" s="12">
        <v>53237</v>
      </c>
      <c r="EM6" s="14">
        <v>183712</v>
      </c>
      <c r="EN6" s="16">
        <v>104000</v>
      </c>
      <c r="EO6" s="14">
        <v>33938</v>
      </c>
      <c r="EP6" s="12">
        <v>219544</v>
      </c>
      <c r="EQ6" s="14">
        <v>34865919</v>
      </c>
      <c r="ER6" s="12">
        <v>16783877</v>
      </c>
      <c r="ES6" s="14">
        <v>8733665</v>
      </c>
      <c r="ET6" s="12">
        <v>98408</v>
      </c>
      <c r="EU6" s="14">
        <v>7992169</v>
      </c>
      <c r="EV6" s="12">
        <v>5854932</v>
      </c>
      <c r="EW6" s="14">
        <v>5459915</v>
      </c>
      <c r="EX6" s="12">
        <v>2078968</v>
      </c>
      <c r="EY6" s="14">
        <v>15933012</v>
      </c>
      <c r="EZ6" s="12">
        <v>59381566</v>
      </c>
      <c r="FA6" s="14">
        <v>51273732</v>
      </c>
      <c r="FB6" s="12">
        <v>11206572</v>
      </c>
      <c r="FC6" s="14">
        <v>46756648</v>
      </c>
      <c r="FD6" s="12">
        <v>21422362</v>
      </c>
      <c r="FE6" s="14">
        <v>43943536</v>
      </c>
      <c r="FF6" s="12">
        <v>587154</v>
      </c>
      <c r="FG6" s="14">
        <v>10105596</v>
      </c>
      <c r="FH6" s="12">
        <v>8660952</v>
      </c>
      <c r="FI6" s="14">
        <v>17539600</v>
      </c>
      <c r="FJ6" s="12">
        <v>23821199</v>
      </c>
      <c r="FK6" s="14">
        <v>9557468</v>
      </c>
      <c r="FL6" s="12">
        <v>59886383</v>
      </c>
      <c r="FM6" s="14">
        <v>69817894</v>
      </c>
      <c r="FN6" s="12">
        <v>1320812</v>
      </c>
      <c r="FO6" s="14">
        <v>8296582</v>
      </c>
      <c r="FP6" s="12">
        <v>1399950</v>
      </c>
      <c r="FQ6" s="14">
        <v>11830801</v>
      </c>
      <c r="FR6" s="12">
        <v>84428331</v>
      </c>
      <c r="FS6" s="14">
        <v>331198130</v>
      </c>
      <c r="FT6" s="12">
        <v>45867852</v>
      </c>
      <c r="FU6" s="14">
        <v>43705858</v>
      </c>
      <c r="FV6" s="12">
        <v>9902079</v>
      </c>
      <c r="FW6" s="14">
        <v>67922029</v>
      </c>
      <c r="FX6" s="12">
        <v>3474956</v>
      </c>
      <c r="FY6" s="14">
        <v>33516027</v>
      </c>
      <c r="FZ6" s="12">
        <v>28427499</v>
      </c>
      <c r="GA6" s="14">
        <v>97425470</v>
      </c>
      <c r="GB6" s="16">
        <v>4800000</v>
      </c>
      <c r="GC6" s="14">
        <v>598682</v>
      </c>
      <c r="GD6" s="12">
        <v>29886897</v>
      </c>
      <c r="GE6" s="14">
        <v>18430129</v>
      </c>
      <c r="GF6" s="19">
        <v>14883803</v>
      </c>
    </row>
    <row r="7" spans="1:188" x14ac:dyDescent="0.35">
      <c r="A7" s="5" t="s">
        <v>193</v>
      </c>
      <c r="B7" s="6" t="s">
        <v>195</v>
      </c>
      <c r="C7" s="7" t="s">
        <v>196</v>
      </c>
      <c r="D7" s="6" t="s">
        <v>197</v>
      </c>
      <c r="E7" s="7" t="s">
        <v>196</v>
      </c>
      <c r="F7" s="6" t="s">
        <v>197</v>
      </c>
      <c r="G7" s="7" t="s">
        <v>198</v>
      </c>
      <c r="H7" s="6" t="s">
        <v>199</v>
      </c>
      <c r="I7" s="7" t="s">
        <v>195</v>
      </c>
      <c r="J7" s="6" t="s">
        <v>200</v>
      </c>
      <c r="K7" s="7" t="s">
        <v>196</v>
      </c>
      <c r="L7" s="6" t="s">
        <v>195</v>
      </c>
      <c r="M7" s="7" t="s">
        <v>198</v>
      </c>
      <c r="N7" s="6" t="s">
        <v>195</v>
      </c>
      <c r="O7" s="7" t="s">
        <v>195</v>
      </c>
      <c r="P7" s="6" t="s">
        <v>198</v>
      </c>
      <c r="Q7" s="7" t="s">
        <v>196</v>
      </c>
      <c r="R7" s="6" t="s">
        <v>196</v>
      </c>
      <c r="S7" s="7" t="s">
        <v>198</v>
      </c>
      <c r="T7" s="6" t="s">
        <v>197</v>
      </c>
      <c r="U7" s="7" t="s">
        <v>195</v>
      </c>
      <c r="V7" s="6" t="s">
        <v>199</v>
      </c>
      <c r="W7" s="7" t="s">
        <v>196</v>
      </c>
      <c r="X7" s="6" t="s">
        <v>197</v>
      </c>
      <c r="Y7" s="7" t="s">
        <v>199</v>
      </c>
      <c r="Z7" s="6" t="s">
        <v>195</v>
      </c>
      <c r="AA7" s="7" t="s">
        <v>196</v>
      </c>
      <c r="AB7" s="6" t="s">
        <v>197</v>
      </c>
      <c r="AC7" s="7" t="s">
        <v>195</v>
      </c>
      <c r="AD7" s="6" t="s">
        <v>197</v>
      </c>
      <c r="AE7" s="7" t="s">
        <v>197</v>
      </c>
      <c r="AF7" s="6" t="s">
        <v>195</v>
      </c>
      <c r="AG7" s="7" t="s">
        <v>197</v>
      </c>
      <c r="AH7" s="6" t="s">
        <v>198</v>
      </c>
      <c r="AI7" s="7" t="s">
        <v>197</v>
      </c>
      <c r="AJ7" s="6" t="s">
        <v>197</v>
      </c>
      <c r="AK7" s="7" t="s">
        <v>199</v>
      </c>
      <c r="AL7" s="6" t="s">
        <v>197</v>
      </c>
      <c r="AM7" s="7" t="s">
        <v>199</v>
      </c>
      <c r="AN7" s="6" t="s">
        <v>197</v>
      </c>
      <c r="AO7" s="7" t="s">
        <v>197</v>
      </c>
      <c r="AP7" s="6" t="s">
        <v>197</v>
      </c>
      <c r="AQ7" s="7" t="s">
        <v>198</v>
      </c>
      <c r="AR7" s="6" t="s">
        <v>197</v>
      </c>
      <c r="AS7" s="7" t="s">
        <v>196</v>
      </c>
      <c r="AT7" s="6" t="s">
        <v>198</v>
      </c>
      <c r="AU7" s="7" t="s">
        <v>195</v>
      </c>
      <c r="AV7" s="6" t="s">
        <v>196</v>
      </c>
      <c r="AW7" s="7" t="s">
        <v>196</v>
      </c>
      <c r="AX7" s="6" t="s">
        <v>197</v>
      </c>
      <c r="AY7" s="7" t="s">
        <v>198</v>
      </c>
      <c r="AZ7" s="6" t="s">
        <v>198</v>
      </c>
      <c r="BA7" s="7" t="s">
        <v>199</v>
      </c>
      <c r="BB7" s="6" t="s">
        <v>197</v>
      </c>
      <c r="BC7" s="7" t="s">
        <v>198</v>
      </c>
      <c r="BD7" s="6" t="s">
        <v>197</v>
      </c>
      <c r="BE7" s="7" t="s">
        <v>197</v>
      </c>
      <c r="BF7" s="6" t="s">
        <v>196</v>
      </c>
      <c r="BG7" s="7" t="s">
        <v>197</v>
      </c>
      <c r="BH7" s="6" t="s">
        <v>197</v>
      </c>
      <c r="BI7" s="7" t="s">
        <v>200</v>
      </c>
      <c r="BJ7" s="6" t="s">
        <v>196</v>
      </c>
      <c r="BK7" s="7" t="s">
        <v>196</v>
      </c>
      <c r="BL7" s="6" t="s">
        <v>197</v>
      </c>
      <c r="BM7" s="7" t="s">
        <v>197</v>
      </c>
      <c r="BN7" s="6" t="s">
        <v>195</v>
      </c>
      <c r="BO7" s="7" t="s">
        <v>196</v>
      </c>
      <c r="BP7" s="6" t="s">
        <v>197</v>
      </c>
      <c r="BQ7" s="7" t="s">
        <v>196</v>
      </c>
      <c r="BR7" s="6" t="s">
        <v>198</v>
      </c>
      <c r="BS7" s="7" t="s">
        <v>198</v>
      </c>
      <c r="BT7" s="6" t="s">
        <v>198</v>
      </c>
      <c r="BU7" s="7" t="s">
        <v>197</v>
      </c>
      <c r="BV7" s="6" t="s">
        <v>197</v>
      </c>
      <c r="BW7" s="7" t="s">
        <v>199</v>
      </c>
      <c r="BX7" s="6" t="s">
        <v>198</v>
      </c>
      <c r="BY7" s="7" t="s">
        <v>196</v>
      </c>
      <c r="BZ7" s="6" t="s">
        <v>198</v>
      </c>
      <c r="CA7" s="7" t="s">
        <v>196</v>
      </c>
      <c r="CB7" s="6" t="s">
        <v>196</v>
      </c>
      <c r="CC7" s="7" t="s">
        <v>195</v>
      </c>
      <c r="CD7" s="6" t="s">
        <v>195</v>
      </c>
      <c r="CE7" s="7" t="s">
        <v>195</v>
      </c>
      <c r="CF7" s="6" t="s">
        <v>195</v>
      </c>
      <c r="CG7" s="7" t="s">
        <v>196</v>
      </c>
      <c r="CH7" s="6" t="s">
        <v>195</v>
      </c>
      <c r="CI7" s="7" t="s">
        <v>196</v>
      </c>
      <c r="CJ7" s="6" t="s">
        <v>198</v>
      </c>
      <c r="CK7" s="7" t="s">
        <v>195</v>
      </c>
      <c r="CL7" s="6" t="s">
        <v>195</v>
      </c>
      <c r="CM7" s="7" t="s">
        <v>195</v>
      </c>
      <c r="CN7" s="6" t="s">
        <v>197</v>
      </c>
      <c r="CO7" s="7" t="s">
        <v>196</v>
      </c>
      <c r="CP7" s="6" t="s">
        <v>195</v>
      </c>
      <c r="CQ7" s="7" t="s">
        <v>195</v>
      </c>
      <c r="CR7" s="6" t="s">
        <v>195</v>
      </c>
      <c r="CS7" s="7" t="s">
        <v>196</v>
      </c>
      <c r="CT7" s="6" t="s">
        <v>195</v>
      </c>
      <c r="CU7" s="7" t="s">
        <v>197</v>
      </c>
      <c r="CV7" s="6" t="s">
        <v>197</v>
      </c>
      <c r="CW7" s="7" t="s">
        <v>197</v>
      </c>
      <c r="CX7" s="6" t="s">
        <v>196</v>
      </c>
      <c r="CY7" s="7" t="s">
        <v>196</v>
      </c>
      <c r="CZ7" s="6" t="s">
        <v>196</v>
      </c>
      <c r="DA7" s="7" t="s">
        <v>197</v>
      </c>
      <c r="DB7" s="6" t="s">
        <v>197</v>
      </c>
      <c r="DC7" s="7" t="s">
        <v>195</v>
      </c>
      <c r="DD7" s="6" t="s">
        <v>195</v>
      </c>
      <c r="DE7" s="7" t="s">
        <v>197</v>
      </c>
      <c r="DF7" s="6" t="s">
        <v>196</v>
      </c>
      <c r="DG7" s="7" t="s">
        <v>197</v>
      </c>
      <c r="DH7" s="6" t="s">
        <v>197</v>
      </c>
      <c r="DI7" s="7" t="s">
        <v>198</v>
      </c>
      <c r="DJ7" s="6" t="s">
        <v>196</v>
      </c>
      <c r="DK7" s="7" t="s">
        <v>196</v>
      </c>
      <c r="DL7" s="6" t="s">
        <v>195</v>
      </c>
      <c r="DM7" s="7" t="s">
        <v>196</v>
      </c>
      <c r="DN7" s="6" t="s">
        <v>197</v>
      </c>
      <c r="DO7" s="7" t="s">
        <v>197</v>
      </c>
      <c r="DP7" s="6" t="s">
        <v>197</v>
      </c>
      <c r="DQ7" s="7" t="s">
        <v>195</v>
      </c>
      <c r="DR7" s="6" t="s">
        <v>196</v>
      </c>
      <c r="DS7" s="7" t="s">
        <v>200</v>
      </c>
      <c r="DT7" s="6" t="s">
        <v>198</v>
      </c>
      <c r="DU7" s="7" t="s">
        <v>197</v>
      </c>
      <c r="DV7" s="6" t="s">
        <v>197</v>
      </c>
      <c r="DW7" s="7" t="s">
        <v>196</v>
      </c>
      <c r="DX7" s="6" t="s">
        <v>196</v>
      </c>
      <c r="DY7" s="7" t="s">
        <v>195</v>
      </c>
      <c r="DZ7" s="6" t="s">
        <v>195</v>
      </c>
      <c r="EA7" s="7" t="s">
        <v>195</v>
      </c>
      <c r="EB7" s="6" t="s">
        <v>200</v>
      </c>
      <c r="EC7" s="7" t="s">
        <v>199</v>
      </c>
      <c r="ED7" s="6" t="s">
        <v>199</v>
      </c>
      <c r="EE7" s="7" t="s">
        <v>195</v>
      </c>
      <c r="EF7" s="6" t="s">
        <v>196</v>
      </c>
      <c r="EG7" s="7" t="s">
        <v>196</v>
      </c>
      <c r="EH7" s="6" t="s">
        <v>195</v>
      </c>
      <c r="EI7" s="7" t="s">
        <v>196</v>
      </c>
      <c r="EJ7" s="6" t="s">
        <v>196</v>
      </c>
      <c r="EK7" s="7" t="s">
        <v>197</v>
      </c>
      <c r="EL7" s="6" t="s">
        <v>198</v>
      </c>
      <c r="EM7" s="7" t="s">
        <v>198</v>
      </c>
      <c r="EN7" s="6" t="s">
        <v>198</v>
      </c>
      <c r="EO7" s="7" t="s">
        <v>196</v>
      </c>
      <c r="EP7" s="6" t="s">
        <v>197</v>
      </c>
      <c r="EQ7" s="7" t="s">
        <v>195</v>
      </c>
      <c r="ER7" s="6" t="s">
        <v>197</v>
      </c>
      <c r="ES7" s="7" t="s">
        <v>196</v>
      </c>
      <c r="ET7" s="6" t="s">
        <v>197</v>
      </c>
      <c r="EU7" s="7" t="s">
        <v>197</v>
      </c>
      <c r="EV7" s="6" t="s">
        <v>195</v>
      </c>
      <c r="EW7" s="7" t="s">
        <v>196</v>
      </c>
      <c r="EX7" s="6" t="s">
        <v>196</v>
      </c>
      <c r="EY7" s="7" t="s">
        <v>197</v>
      </c>
      <c r="EZ7" s="6" t="s">
        <v>197</v>
      </c>
      <c r="FA7" s="7" t="s">
        <v>195</v>
      </c>
      <c r="FB7" s="6" t="s">
        <v>197</v>
      </c>
      <c r="FC7" s="7" t="s">
        <v>196</v>
      </c>
      <c r="FD7" s="6" t="s">
        <v>195</v>
      </c>
      <c r="FE7" s="7" t="s">
        <v>197</v>
      </c>
      <c r="FF7" s="6" t="s">
        <v>199</v>
      </c>
      <c r="FG7" s="7" t="s">
        <v>196</v>
      </c>
      <c r="FH7" s="6" t="s">
        <v>196</v>
      </c>
      <c r="FI7" s="7" t="s">
        <v>195</v>
      </c>
      <c r="FJ7" s="6" t="s">
        <v>195</v>
      </c>
      <c r="FK7" s="7" t="s">
        <v>195</v>
      </c>
      <c r="FL7" s="6" t="s">
        <v>197</v>
      </c>
      <c r="FM7" s="7" t="s">
        <v>195</v>
      </c>
      <c r="FN7" s="6" t="s">
        <v>195</v>
      </c>
      <c r="FO7" s="7" t="s">
        <v>197</v>
      </c>
      <c r="FP7" s="6" t="s">
        <v>198</v>
      </c>
      <c r="FQ7" s="7" t="s">
        <v>197</v>
      </c>
      <c r="FR7" s="6" t="s">
        <v>195</v>
      </c>
      <c r="FS7" s="7" t="s">
        <v>198</v>
      </c>
      <c r="FT7" s="6" t="s">
        <v>197</v>
      </c>
      <c r="FU7" s="7" t="s">
        <v>196</v>
      </c>
      <c r="FV7" s="6" t="s">
        <v>195</v>
      </c>
      <c r="FW7" s="7" t="s">
        <v>196</v>
      </c>
      <c r="FX7" s="6" t="s">
        <v>199</v>
      </c>
      <c r="FY7" s="7" t="s">
        <v>195</v>
      </c>
      <c r="FZ7" s="6" t="s">
        <v>199</v>
      </c>
      <c r="GA7" s="7" t="s">
        <v>195</v>
      </c>
      <c r="GB7" s="6" t="s">
        <v>195</v>
      </c>
      <c r="GC7" s="7" t="s">
        <v>197</v>
      </c>
      <c r="GD7" s="6" t="s">
        <v>195</v>
      </c>
      <c r="GE7" s="7" t="s">
        <v>197</v>
      </c>
      <c r="GF7" s="8" t="s">
        <v>197</v>
      </c>
    </row>
    <row r="8" spans="1:188" x14ac:dyDescent="0.35">
      <c r="A8" s="11" t="s">
        <v>194</v>
      </c>
      <c r="B8" s="13">
        <v>43885</v>
      </c>
      <c r="C8" s="15">
        <v>43899</v>
      </c>
      <c r="D8" s="13">
        <v>43886</v>
      </c>
      <c r="E8" s="15">
        <v>43892</v>
      </c>
      <c r="F8" s="13">
        <v>43911</v>
      </c>
      <c r="G8" s="15">
        <v>43903</v>
      </c>
      <c r="H8" s="13">
        <v>43893</v>
      </c>
      <c r="I8" s="15">
        <v>43891</v>
      </c>
      <c r="J8" s="13">
        <v>43855</v>
      </c>
      <c r="K8" s="15">
        <v>43886</v>
      </c>
      <c r="L8" s="13">
        <v>43889</v>
      </c>
      <c r="M8" s="15">
        <v>43905</v>
      </c>
      <c r="N8" s="13">
        <v>43882</v>
      </c>
      <c r="O8" s="15">
        <v>43898</v>
      </c>
      <c r="P8" s="13">
        <v>43907</v>
      </c>
      <c r="Q8" s="15">
        <v>43889</v>
      </c>
      <c r="R8" s="13">
        <v>43865</v>
      </c>
      <c r="S8" s="15">
        <v>43913</v>
      </c>
      <c r="T8" s="13">
        <v>43906</v>
      </c>
      <c r="U8" s="15">
        <v>43896</v>
      </c>
      <c r="V8" s="13">
        <v>43900</v>
      </c>
      <c r="W8" s="15">
        <v>43895</v>
      </c>
      <c r="X8" s="13">
        <v>43920</v>
      </c>
      <c r="Y8" s="15">
        <v>43887</v>
      </c>
      <c r="Z8" s="13">
        <v>43899</v>
      </c>
      <c r="AA8" s="15">
        <v>43898</v>
      </c>
      <c r="AB8" s="13">
        <v>43899</v>
      </c>
      <c r="AC8" s="15">
        <v>43913</v>
      </c>
      <c r="AD8" s="13">
        <v>43921</v>
      </c>
      <c r="AE8" s="15">
        <v>43910</v>
      </c>
      <c r="AF8" s="13">
        <v>43857</v>
      </c>
      <c r="AG8" s="15">
        <v>43896</v>
      </c>
      <c r="AH8" s="13">
        <v>43855</v>
      </c>
      <c r="AI8" s="15">
        <v>43904</v>
      </c>
      <c r="AJ8" s="13">
        <v>43909</v>
      </c>
      <c r="AK8" s="15">
        <v>43893</v>
      </c>
      <c r="AL8" s="13">
        <v>43786</v>
      </c>
      <c r="AM8" s="15">
        <v>43896</v>
      </c>
      <c r="AN8" s="13">
        <v>43951</v>
      </c>
      <c r="AO8" s="15">
        <v>43904</v>
      </c>
      <c r="AP8" s="13">
        <v>43900</v>
      </c>
      <c r="AQ8" s="15">
        <v>43896</v>
      </c>
      <c r="AR8" s="13">
        <v>43901</v>
      </c>
      <c r="AS8" s="15">
        <v>43886</v>
      </c>
      <c r="AT8" s="13">
        <v>43901</v>
      </c>
      <c r="AU8" s="15">
        <v>43899</v>
      </c>
      <c r="AV8" s="13">
        <v>43891</v>
      </c>
      <c r="AW8" s="15">
        <v>43888</v>
      </c>
      <c r="AX8" s="13">
        <v>43908</v>
      </c>
      <c r="AY8" s="15">
        <v>43912</v>
      </c>
      <c r="AZ8" s="13">
        <v>43891</v>
      </c>
      <c r="BA8" s="15">
        <v>43890</v>
      </c>
      <c r="BB8" s="13">
        <v>43875</v>
      </c>
      <c r="BC8" s="15">
        <v>43909</v>
      </c>
      <c r="BD8" s="13">
        <v>43904</v>
      </c>
      <c r="BE8" s="15">
        <v>43911</v>
      </c>
      <c r="BF8" s="13">
        <v>43888</v>
      </c>
      <c r="BG8" s="15">
        <v>43904</v>
      </c>
      <c r="BH8" s="13">
        <v>43903</v>
      </c>
      <c r="BI8" s="15">
        <v>43909</v>
      </c>
      <c r="BJ8" s="13">
        <v>43887</v>
      </c>
      <c r="BK8" s="15">
        <v>43826</v>
      </c>
      <c r="BL8" s="13">
        <v>43902</v>
      </c>
      <c r="BM8" s="15">
        <v>43907</v>
      </c>
      <c r="BN8" s="13">
        <v>43887</v>
      </c>
      <c r="BO8" s="15">
        <v>43857</v>
      </c>
      <c r="BP8" s="13">
        <v>43902</v>
      </c>
      <c r="BQ8" s="15">
        <v>43887</v>
      </c>
      <c r="BR8" s="13">
        <v>43898</v>
      </c>
      <c r="BS8" s="15">
        <v>43912</v>
      </c>
      <c r="BT8" s="13">
        <v>43903</v>
      </c>
      <c r="BU8" s="15">
        <v>43903</v>
      </c>
      <c r="BV8" s="13">
        <v>43915</v>
      </c>
      <c r="BW8" s="15">
        <v>43902</v>
      </c>
      <c r="BX8" s="13">
        <v>43909</v>
      </c>
      <c r="BY8" s="15">
        <v>43912</v>
      </c>
      <c r="BZ8" s="13">
        <v>43907</v>
      </c>
      <c r="CA8" s="15">
        <v>43894</v>
      </c>
      <c r="CB8" s="13">
        <v>43889</v>
      </c>
      <c r="CC8" s="15">
        <v>43860</v>
      </c>
      <c r="CD8" s="13">
        <v>43892</v>
      </c>
      <c r="CE8" s="15">
        <v>43880</v>
      </c>
      <c r="CF8" s="13">
        <v>43883</v>
      </c>
      <c r="CG8" s="15">
        <v>43890</v>
      </c>
      <c r="CH8" s="13">
        <v>43882</v>
      </c>
      <c r="CI8" s="15">
        <v>43861</v>
      </c>
      <c r="CJ8" s="13">
        <v>43900</v>
      </c>
      <c r="CK8" s="15">
        <v>43846</v>
      </c>
      <c r="CL8" s="13">
        <v>43892</v>
      </c>
      <c r="CM8" s="15">
        <v>43903</v>
      </c>
      <c r="CN8" s="13">
        <v>43903</v>
      </c>
      <c r="CO8" s="15">
        <v>43903</v>
      </c>
      <c r="CP8" s="13">
        <v>43885</v>
      </c>
      <c r="CQ8" s="15">
        <v>43908</v>
      </c>
      <c r="CR8" s="13">
        <v>43914</v>
      </c>
      <c r="CS8" s="15">
        <v>43892</v>
      </c>
      <c r="CT8" s="13">
        <v>43882</v>
      </c>
      <c r="CU8" s="15">
        <v>43964</v>
      </c>
      <c r="CV8" s="13">
        <v>43906</v>
      </c>
      <c r="CW8" s="15">
        <v>43914</v>
      </c>
      <c r="CX8" s="13">
        <v>43893</v>
      </c>
      <c r="CY8" s="15">
        <v>43889</v>
      </c>
      <c r="CZ8" s="13">
        <v>43890</v>
      </c>
      <c r="DA8" s="15">
        <v>43910</v>
      </c>
      <c r="DB8" s="13">
        <v>43922</v>
      </c>
      <c r="DC8" s="15">
        <v>43855</v>
      </c>
      <c r="DD8" s="13">
        <v>43897</v>
      </c>
      <c r="DE8" s="15">
        <v>43915</v>
      </c>
      <c r="DF8" s="13">
        <v>43897</v>
      </c>
      <c r="DG8" s="15">
        <v>43903</v>
      </c>
      <c r="DH8" s="13">
        <v>43908</v>
      </c>
      <c r="DI8" s="15">
        <v>43889</v>
      </c>
      <c r="DJ8" s="13">
        <v>43897</v>
      </c>
      <c r="DK8" s="15">
        <v>43890</v>
      </c>
      <c r="DL8" s="13">
        <v>43900</v>
      </c>
      <c r="DM8" s="15">
        <v>43907</v>
      </c>
      <c r="DN8" s="13">
        <v>43892</v>
      </c>
      <c r="DO8" s="15">
        <v>43912</v>
      </c>
      <c r="DP8" s="13">
        <v>43904</v>
      </c>
      <c r="DQ8" s="15">
        <v>43843</v>
      </c>
      <c r="DR8" s="13">
        <v>43888</v>
      </c>
      <c r="DS8" s="15">
        <v>43889</v>
      </c>
      <c r="DT8" s="13">
        <v>43908</v>
      </c>
      <c r="DU8" s="15">
        <v>43909</v>
      </c>
      <c r="DV8" s="13">
        <v>43888</v>
      </c>
      <c r="DW8" s="15">
        <v>43887</v>
      </c>
      <c r="DX8" s="13">
        <v>43887</v>
      </c>
      <c r="DY8" s="15">
        <v>43885</v>
      </c>
      <c r="DZ8" s="13">
        <v>43887</v>
      </c>
      <c r="EA8" s="15">
        <v>43899</v>
      </c>
      <c r="EB8" s="13">
        <v>43910</v>
      </c>
      <c r="EC8" s="15">
        <v>43897</v>
      </c>
      <c r="ED8" s="13">
        <v>43896</v>
      </c>
      <c r="EE8" s="15">
        <v>43860</v>
      </c>
      <c r="EF8" s="13">
        <v>43894</v>
      </c>
      <c r="EG8" s="15">
        <v>43892</v>
      </c>
      <c r="EH8" s="13">
        <v>43888</v>
      </c>
      <c r="EI8" s="15">
        <v>43887</v>
      </c>
      <c r="EJ8" s="13">
        <v>43861</v>
      </c>
      <c r="EK8" s="15">
        <v>43904</v>
      </c>
      <c r="EL8" s="13">
        <v>43914</v>
      </c>
      <c r="EM8" s="15">
        <v>43903</v>
      </c>
      <c r="EN8" s="13">
        <v>43901</v>
      </c>
      <c r="EO8" s="15">
        <v>43888</v>
      </c>
      <c r="EP8" s="13">
        <v>43927</v>
      </c>
      <c r="EQ8" s="15">
        <v>43892</v>
      </c>
      <c r="ER8" s="13">
        <v>43892</v>
      </c>
      <c r="ES8" s="15">
        <v>43896</v>
      </c>
      <c r="ET8" s="13">
        <v>43904</v>
      </c>
      <c r="EU8" s="15">
        <v>43921</v>
      </c>
      <c r="EV8" s="13">
        <v>43853</v>
      </c>
      <c r="EW8" s="15">
        <v>43896</v>
      </c>
      <c r="EX8" s="13">
        <v>43894</v>
      </c>
      <c r="EY8" s="15">
        <v>43906</v>
      </c>
      <c r="EZ8" s="13">
        <v>43895</v>
      </c>
      <c r="FA8" s="15">
        <v>43850</v>
      </c>
      <c r="FB8" s="13">
        <v>43926</v>
      </c>
      <c r="FC8" s="15">
        <v>43861</v>
      </c>
      <c r="FD8" s="13">
        <v>43857</v>
      </c>
      <c r="FE8" s="15">
        <v>43903</v>
      </c>
      <c r="FF8" s="13">
        <v>43903</v>
      </c>
      <c r="FG8" s="15">
        <v>43861</v>
      </c>
      <c r="FH8" s="13">
        <v>43886</v>
      </c>
      <c r="FI8" s="15">
        <v>43912</v>
      </c>
      <c r="FJ8" s="13">
        <v>43851</v>
      </c>
      <c r="FK8" s="15">
        <v>43951</v>
      </c>
      <c r="FL8" s="13">
        <v>43906</v>
      </c>
      <c r="FM8" s="15">
        <v>43843</v>
      </c>
      <c r="FN8" s="13">
        <v>43911</v>
      </c>
      <c r="FO8" s="15">
        <v>43896</v>
      </c>
      <c r="FP8" s="13">
        <v>43902</v>
      </c>
      <c r="FQ8" s="15">
        <v>43892</v>
      </c>
      <c r="FR8" s="13">
        <v>43901</v>
      </c>
      <c r="FS8" s="15">
        <v>43851</v>
      </c>
      <c r="FT8" s="13">
        <v>43912</v>
      </c>
      <c r="FU8" s="15">
        <v>43893</v>
      </c>
      <c r="FV8" s="13">
        <v>43859</v>
      </c>
      <c r="FW8" s="15">
        <v>43861</v>
      </c>
      <c r="FX8" s="13">
        <v>43903</v>
      </c>
      <c r="FY8" s="15">
        <v>43905</v>
      </c>
      <c r="FZ8" s="13">
        <v>43903</v>
      </c>
      <c r="GA8" s="15">
        <v>43853</v>
      </c>
      <c r="GB8" s="13">
        <v>43895</v>
      </c>
      <c r="GC8" s="15">
        <v>43925</v>
      </c>
      <c r="GD8" s="13">
        <v>43931</v>
      </c>
      <c r="GE8" s="15">
        <v>43908</v>
      </c>
      <c r="GF8" s="20">
        <v>43911</v>
      </c>
    </row>
    <row r="9" spans="1:188" x14ac:dyDescent="0.35">
      <c r="A9" s="24" t="s">
        <v>205</v>
      </c>
      <c r="B9">
        <f t="shared" ref="B9:AG9" si="0">(B3/B2*100)</f>
        <v>3.499434685492099</v>
      </c>
      <c r="C9">
        <f t="shared" si="0"/>
        <v>2.9508196721311477</v>
      </c>
      <c r="D9">
        <f t="shared" si="0"/>
        <v>4.1575805240767885</v>
      </c>
      <c r="E9">
        <f t="shared" si="0"/>
        <v>5.7331863285556786</v>
      </c>
      <c r="F9">
        <f t="shared" si="0"/>
        <v>4.3157894736842106</v>
      </c>
      <c r="G9">
        <f t="shared" si="0"/>
        <v>3.4883720930232558</v>
      </c>
      <c r="H9">
        <f t="shared" si="0"/>
        <v>1.827184976346347</v>
      </c>
      <c r="I9">
        <f t="shared" si="0"/>
        <v>1.9015779620219311</v>
      </c>
      <c r="J9">
        <f t="shared" si="0"/>
        <v>1.0912892896817616</v>
      </c>
      <c r="K9">
        <f t="shared" si="0"/>
        <v>3.4682362097480302</v>
      </c>
      <c r="L9">
        <f t="shared" si="0"/>
        <v>1.389345069959929</v>
      </c>
      <c r="M9">
        <f t="shared" si="0"/>
        <v>2.8795811518324608</v>
      </c>
      <c r="N9">
        <f t="shared" si="0"/>
        <v>0.35712476571602247</v>
      </c>
      <c r="O9">
        <f t="shared" si="0"/>
        <v>1.310642059896121</v>
      </c>
      <c r="P9">
        <f t="shared" si="0"/>
        <v>6.3636363636363633</v>
      </c>
      <c r="Q9">
        <f t="shared" si="0"/>
        <v>0.79998810426610767</v>
      </c>
      <c r="R9">
        <f t="shared" si="0"/>
        <v>14.785933642439936</v>
      </c>
      <c r="S9">
        <f t="shared" si="0"/>
        <v>4.1666666666666661</v>
      </c>
      <c r="T9">
        <f t="shared" si="0"/>
        <v>1.977401129943503</v>
      </c>
      <c r="U9">
        <f t="shared" si="0"/>
        <v>0</v>
      </c>
      <c r="V9">
        <f t="shared" si="0"/>
        <v>3.718688975990784</v>
      </c>
      <c r="W9">
        <f t="shared" si="0"/>
        <v>2.8005334349399886</v>
      </c>
      <c r="X9">
        <f t="shared" si="0"/>
        <v>0.2706359945872801</v>
      </c>
      <c r="Y9">
        <f t="shared" si="0"/>
        <v>3.5874097957930293</v>
      </c>
      <c r="Z9">
        <f t="shared" si="0"/>
        <v>2.1276595744680851</v>
      </c>
      <c r="AA9">
        <f t="shared" si="0"/>
        <v>3.2671123246398639</v>
      </c>
      <c r="AB9">
        <f t="shared" si="0"/>
        <v>4.8181818181818183</v>
      </c>
      <c r="AC9">
        <f t="shared" si="0"/>
        <v>1.7142857142857144</v>
      </c>
      <c r="AD9">
        <f t="shared" si="0"/>
        <v>0.26455026455026454</v>
      </c>
      <c r="AE9">
        <f t="shared" si="0"/>
        <v>0.94501718213058417</v>
      </c>
      <c r="AF9">
        <f t="shared" si="0"/>
        <v>0</v>
      </c>
      <c r="AG9">
        <f t="shared" si="0"/>
        <v>2.2852133255406195</v>
      </c>
      <c r="AH9">
        <f t="shared" ref="AH9:BM9" si="1">(AH3/AH2*100)</f>
        <v>7.6800219821738303</v>
      </c>
      <c r="AI9">
        <f t="shared" si="1"/>
        <v>1.2828875842574472</v>
      </c>
      <c r="AJ9">
        <f t="shared" si="1"/>
        <v>8.1344902386117131</v>
      </c>
      <c r="AK9">
        <f t="shared" si="1"/>
        <v>2.6405267832250239</v>
      </c>
      <c r="AL9">
        <f t="shared" si="1"/>
        <v>5.3651060691610111</v>
      </c>
      <c r="AM9">
        <f t="shared" si="1"/>
        <v>3.4138334740043796</v>
      </c>
      <c r="AN9">
        <f t="shared" si="1"/>
        <v>1.977401129943503</v>
      </c>
      <c r="AO9">
        <f t="shared" si="1"/>
        <v>1.6875</v>
      </c>
      <c r="AP9">
        <f t="shared" si="1"/>
        <v>2.3518769787426503</v>
      </c>
      <c r="AQ9">
        <f t="shared" si="1"/>
        <v>0.72596426993245378</v>
      </c>
      <c r="AR9">
        <f t="shared" si="1"/>
        <v>0.61322261258383903</v>
      </c>
      <c r="AS9">
        <f t="shared" si="1"/>
        <v>2.8477770948576113</v>
      </c>
      <c r="AT9">
        <f t="shared" si="1"/>
        <v>3.4360189573459716</v>
      </c>
      <c r="AU9">
        <f t="shared" si="1"/>
        <v>1.7924528301886793</v>
      </c>
      <c r="AV9">
        <f t="shared" si="1"/>
        <v>2.4039700953854086</v>
      </c>
      <c r="AW9">
        <f t="shared" si="1"/>
        <v>4.4546181236828719</v>
      </c>
      <c r="AX9">
        <f t="shared" si="1"/>
        <v>1.1464716347104171</v>
      </c>
      <c r="AY9">
        <f t="shared" si="1"/>
        <v>0</v>
      </c>
      <c r="AZ9">
        <f t="shared" si="1"/>
        <v>1.688072822495168</v>
      </c>
      <c r="BA9">
        <f t="shared" si="1"/>
        <v>6.8160816155542685</v>
      </c>
      <c r="BB9">
        <f t="shared" si="1"/>
        <v>5.0301680326982545</v>
      </c>
      <c r="BC9">
        <f t="shared" si="1"/>
        <v>2.7136681077485867</v>
      </c>
      <c r="BD9">
        <f t="shared" si="1"/>
        <v>1.6606968414197329</v>
      </c>
      <c r="BE9">
        <f t="shared" si="1"/>
        <v>0</v>
      </c>
      <c r="BF9">
        <f t="shared" si="1"/>
        <v>3.3923303834808261</v>
      </c>
      <c r="BG9">
        <f t="shared" si="1"/>
        <v>1.468048359240069</v>
      </c>
      <c r="BH9">
        <f t="shared" si="1"/>
        <v>1.5673334708187256</v>
      </c>
      <c r="BI9">
        <f t="shared" si="1"/>
        <v>0</v>
      </c>
      <c r="BJ9">
        <f t="shared" si="1"/>
        <v>4.4471478778048121</v>
      </c>
      <c r="BK9">
        <f t="shared" si="1"/>
        <v>13.71079000871333</v>
      </c>
      <c r="BL9">
        <f t="shared" si="1"/>
        <v>0.6815968841285297</v>
      </c>
      <c r="BM9">
        <f t="shared" si="1"/>
        <v>2.4539877300613497</v>
      </c>
      <c r="BN9">
        <f t="shared" ref="BN9:CS9" si="2">(BN3/BN2*100)</f>
        <v>1.4072119613016711</v>
      </c>
      <c r="BO9">
        <f t="shared" si="2"/>
        <v>4.4058287303487962</v>
      </c>
      <c r="BP9">
        <f t="shared" si="2"/>
        <v>0.49964311206281231</v>
      </c>
      <c r="BQ9">
        <f t="shared" si="2"/>
        <v>4.7788029335225923</v>
      </c>
      <c r="BR9">
        <f t="shared" si="2"/>
        <v>0</v>
      </c>
      <c r="BS9">
        <f t="shared" si="2"/>
        <v>0</v>
      </c>
      <c r="BT9">
        <f t="shared" si="2"/>
        <v>3.8866450374097861</v>
      </c>
      <c r="BU9">
        <f t="shared" si="2"/>
        <v>0.6378454996456413</v>
      </c>
      <c r="BV9">
        <f t="shared" si="2"/>
        <v>1.3306038894575232</v>
      </c>
      <c r="BW9">
        <f t="shared" si="2"/>
        <v>5.1413881748071981</v>
      </c>
      <c r="BX9">
        <f t="shared" si="2"/>
        <v>2.1525885558583107</v>
      </c>
      <c r="BY9">
        <f t="shared" si="2"/>
        <v>0</v>
      </c>
      <c r="BZ9">
        <f t="shared" si="2"/>
        <v>2.9339976346845829</v>
      </c>
      <c r="CA9">
        <f t="shared" si="2"/>
        <v>13.399280575539569</v>
      </c>
      <c r="CB9">
        <f t="shared" si="2"/>
        <v>0.53937432578209277</v>
      </c>
      <c r="CC9">
        <f t="shared" si="2"/>
        <v>2.2571859631247917</v>
      </c>
      <c r="CD9">
        <f t="shared" si="2"/>
        <v>4.8233851430166599</v>
      </c>
      <c r="CE9">
        <f t="shared" si="2"/>
        <v>5.4195077757266539</v>
      </c>
      <c r="CF9">
        <f t="shared" si="2"/>
        <v>3.9596749122884933</v>
      </c>
      <c r="CG9">
        <f t="shared" si="2"/>
        <v>6.8129151861578858</v>
      </c>
      <c r="CH9">
        <f t="shared" si="2"/>
        <v>0.74079862467765878</v>
      </c>
      <c r="CI9">
        <f t="shared" si="2"/>
        <v>14.256595990027854</v>
      </c>
      <c r="CJ9">
        <f t="shared" si="2"/>
        <v>1.1723329425556859</v>
      </c>
      <c r="CK9">
        <f t="shared" si="2"/>
        <v>3.2046753580373775</v>
      </c>
      <c r="CL9">
        <f t="shared" si="2"/>
        <v>0.93537414965986398</v>
      </c>
      <c r="CM9">
        <f t="shared" si="2"/>
        <v>0.69109724978735465</v>
      </c>
      <c r="CN9">
        <f t="shared" si="2"/>
        <v>1.5855354659248957</v>
      </c>
      <c r="CO9">
        <f t="shared" si="2"/>
        <v>2.4956158100634021</v>
      </c>
      <c r="CP9">
        <f t="shared" si="2"/>
        <v>0.68034607558365301</v>
      </c>
      <c r="CQ9">
        <f t="shared" si="2"/>
        <v>3.9073762614127823</v>
      </c>
      <c r="CR9">
        <f t="shared" si="2"/>
        <v>0</v>
      </c>
      <c r="CS9">
        <f t="shared" si="2"/>
        <v>2.5430680885972108</v>
      </c>
      <c r="CT9">
        <f t="shared" ref="CT9:DY9" si="3">(CT3/CT2*100)</f>
        <v>1.313755795981453</v>
      </c>
      <c r="CU9">
        <f t="shared" si="3"/>
        <v>2.3762376237623761</v>
      </c>
      <c r="CV9">
        <f t="shared" si="3"/>
        <v>6.1696658097686372</v>
      </c>
      <c r="CW9">
        <f t="shared" si="3"/>
        <v>2.2638839759462326</v>
      </c>
      <c r="CX9">
        <f t="shared" si="3"/>
        <v>1.1627906976744187</v>
      </c>
      <c r="CY9">
        <f t="shared" si="3"/>
        <v>3.96235760277365</v>
      </c>
      <c r="CZ9">
        <f t="shared" si="3"/>
        <v>1.7718715393133997</v>
      </c>
      <c r="DA9">
        <f t="shared" si="3"/>
        <v>0.9391124871001032</v>
      </c>
      <c r="DB9">
        <f t="shared" si="3"/>
        <v>2.7019650655021836</v>
      </c>
      <c r="DC9">
        <f t="shared" si="3"/>
        <v>1.3926325247079965</v>
      </c>
      <c r="DD9">
        <f t="shared" si="3"/>
        <v>0.44523597506678536</v>
      </c>
      <c r="DE9">
        <f t="shared" si="3"/>
        <v>4.9343414245921213</v>
      </c>
      <c r="DF9">
        <f t="shared" si="3"/>
        <v>1.2838801711840229</v>
      </c>
      <c r="DG9">
        <f t="shared" si="3"/>
        <v>2.5128865979381443</v>
      </c>
      <c r="DH9">
        <f t="shared" si="3"/>
        <v>2.9069767441860463</v>
      </c>
      <c r="DI9">
        <f t="shared" si="3"/>
        <v>11.131030193001576</v>
      </c>
      <c r="DJ9">
        <f t="shared" si="3"/>
        <v>3.2305433186490458</v>
      </c>
      <c r="DK9">
        <f t="shared" si="3"/>
        <v>3.4482758620689653</v>
      </c>
      <c r="DL9">
        <f t="shared" si="3"/>
        <v>0</v>
      </c>
      <c r="DM9">
        <f t="shared" si="3"/>
        <v>1.5554787417905289</v>
      </c>
      <c r="DN9">
        <f t="shared" si="3"/>
        <v>1.5129027624838416</v>
      </c>
      <c r="DO9">
        <f t="shared" si="3"/>
        <v>0.64667842445620227</v>
      </c>
      <c r="DP9">
        <f t="shared" si="3"/>
        <v>0.43407487791644062</v>
      </c>
      <c r="DQ9">
        <f t="shared" si="3"/>
        <v>0.25597269624573377</v>
      </c>
      <c r="DR9">
        <f t="shared" si="3"/>
        <v>11.532772920450078</v>
      </c>
      <c r="DS9">
        <f t="shared" si="3"/>
        <v>1.4129736673089275</v>
      </c>
      <c r="DT9">
        <f t="shared" si="3"/>
        <v>3.1404478045943587</v>
      </c>
      <c r="DU9">
        <f t="shared" si="3"/>
        <v>6.0954063604240289</v>
      </c>
      <c r="DV9">
        <f t="shared" si="3"/>
        <v>2.0883924235065567</v>
      </c>
      <c r="DW9">
        <f t="shared" si="3"/>
        <v>4.562812102222658</v>
      </c>
      <c r="DX9">
        <f t="shared" si="3"/>
        <v>2.7923784494086727</v>
      </c>
      <c r="DY9">
        <f t="shared" si="3"/>
        <v>0.51000545043992829</v>
      </c>
      <c r="DZ9">
        <f t="shared" ref="DZ9:FE9" si="4">(DZ3/DZ2*100)</f>
        <v>2.1298703192618005</v>
      </c>
      <c r="EA9">
        <f t="shared" si="4"/>
        <v>2.1516226685329256</v>
      </c>
      <c r="EB9">
        <f t="shared" si="4"/>
        <v>0</v>
      </c>
      <c r="EC9">
        <f t="shared" si="4"/>
        <v>0.94547053649956025</v>
      </c>
      <c r="ED9">
        <f t="shared" si="4"/>
        <v>4.7259934773181564</v>
      </c>
      <c r="EE9">
        <f t="shared" si="4"/>
        <v>2.3707947342759628</v>
      </c>
      <c r="EF9">
        <f t="shared" si="4"/>
        <v>3.8615731993917333</v>
      </c>
      <c r="EG9">
        <f t="shared" si="4"/>
        <v>3.417562973418955</v>
      </c>
      <c r="EH9">
        <f t="shared" si="4"/>
        <v>0.15055156619250529</v>
      </c>
      <c r="EI9">
        <f t="shared" si="4"/>
        <v>4.8058908108579148</v>
      </c>
      <c r="EJ9">
        <f t="shared" si="4"/>
        <v>1.6327080374197971</v>
      </c>
      <c r="EK9">
        <f t="shared" si="4"/>
        <v>0.26609898882384247</v>
      </c>
      <c r="EL9">
        <f t="shared" si="4"/>
        <v>0</v>
      </c>
      <c r="EM9">
        <f t="shared" si="4"/>
        <v>0</v>
      </c>
      <c r="EN9">
        <f t="shared" si="4"/>
        <v>0</v>
      </c>
      <c r="EO9">
        <f t="shared" si="4"/>
        <v>6.0085836909871242</v>
      </c>
      <c r="EP9">
        <f t="shared" si="4"/>
        <v>1.6184971098265895</v>
      </c>
      <c r="EQ9">
        <f t="shared" si="4"/>
        <v>1.0262741044271086</v>
      </c>
      <c r="ER9">
        <f t="shared" si="4"/>
        <v>1.9868906185989348</v>
      </c>
      <c r="ES9">
        <f t="shared" si="4"/>
        <v>2.2492854479930409</v>
      </c>
      <c r="ET9">
        <f t="shared" si="4"/>
        <v>0</v>
      </c>
      <c r="EU9">
        <f t="shared" si="4"/>
        <v>3.7016264722378009</v>
      </c>
      <c r="EV9">
        <f t="shared" si="4"/>
        <v>5.3109878437389353E-2</v>
      </c>
      <c r="EW9">
        <f t="shared" si="4"/>
        <v>1.2838147638697845</v>
      </c>
      <c r="EX9">
        <f t="shared" si="4"/>
        <v>5.5582175371346434</v>
      </c>
      <c r="EY9">
        <f t="shared" si="4"/>
        <v>2.9098873591989989</v>
      </c>
      <c r="EZ9">
        <f t="shared" si="4"/>
        <v>1.5616678710093719</v>
      </c>
      <c r="FA9">
        <f t="shared" si="4"/>
        <v>2.1122298106033934</v>
      </c>
      <c r="FB9">
        <f t="shared" si="4"/>
        <v>1.9956616052060738</v>
      </c>
      <c r="FC9">
        <f t="shared" si="4"/>
        <v>10.436787178668311</v>
      </c>
      <c r="FD9">
        <f t="shared" si="4"/>
        <v>0.39215686274509803</v>
      </c>
      <c r="FE9">
        <f t="shared" si="4"/>
        <v>6.3025210084033612</v>
      </c>
      <c r="FF9">
        <f t="shared" ref="FF9:GF9" si="5">(FF3/FF2*100)</f>
        <v>1.6183412002697235</v>
      </c>
      <c r="FG9">
        <f t="shared" si="5"/>
        <v>7.1792934063857921</v>
      </c>
      <c r="FH9">
        <f t="shared" si="5"/>
        <v>5.7371581054036023</v>
      </c>
      <c r="FI9">
        <f t="shared" si="5"/>
        <v>5.9347181008902083</v>
      </c>
      <c r="FJ9">
        <f t="shared" si="5"/>
        <v>1.5151515151515151</v>
      </c>
      <c r="FK9">
        <f t="shared" si="5"/>
        <v>0.82930200414651001</v>
      </c>
      <c r="FL9">
        <f t="shared" si="5"/>
        <v>4.1257367387033401</v>
      </c>
      <c r="FM9">
        <f t="shared" si="5"/>
        <v>1.7591750075826509</v>
      </c>
      <c r="FN9">
        <f t="shared" si="5"/>
        <v>0</v>
      </c>
      <c r="FO9">
        <f t="shared" si="5"/>
        <v>2.0594965675057209</v>
      </c>
      <c r="FP9">
        <f t="shared" si="5"/>
        <v>5.4054054054054053</v>
      </c>
      <c r="FQ9">
        <f t="shared" si="5"/>
        <v>3.4364261168384882</v>
      </c>
      <c r="FR9">
        <f t="shared" si="5"/>
        <v>2.4799686369863316</v>
      </c>
      <c r="FS9">
        <f t="shared" si="5"/>
        <v>3.4499315775574386</v>
      </c>
      <c r="FT9">
        <f t="shared" si="5"/>
        <v>0.1773049645390071</v>
      </c>
      <c r="FU9">
        <f t="shared" si="5"/>
        <v>2.4382973649695958</v>
      </c>
      <c r="FV9">
        <f t="shared" si="5"/>
        <v>0.5829967723946804</v>
      </c>
      <c r="FW9">
        <f t="shared" si="5"/>
        <v>15.194824134593713</v>
      </c>
      <c r="FX9">
        <f t="shared" si="5"/>
        <v>2.9118136439267883</v>
      </c>
      <c r="FY9">
        <f t="shared" si="5"/>
        <v>0.5705125182705455</v>
      </c>
      <c r="FZ9">
        <f t="shared" si="5"/>
        <v>0.91318488866649983</v>
      </c>
      <c r="GA9">
        <f t="shared" si="5"/>
        <v>0</v>
      </c>
      <c r="GB9">
        <f t="shared" si="5"/>
        <v>0.73439412484700128</v>
      </c>
      <c r="GC9">
        <f t="shared" si="5"/>
        <v>10</v>
      </c>
      <c r="GD9">
        <f t="shared" si="5"/>
        <v>28.562980484920164</v>
      </c>
      <c r="GE9">
        <f t="shared" si="5"/>
        <v>3.0755711775043935</v>
      </c>
      <c r="GF9">
        <f t="shared" si="5"/>
        <v>1.3313609467455623</v>
      </c>
    </row>
    <row r="10" spans="1:188" x14ac:dyDescent="0.35">
      <c r="A10" s="24" t="s">
        <v>206</v>
      </c>
      <c r="B10">
        <f t="shared" ref="B10:AG10" si="6">(B4/B2*100)</f>
        <v>69.486804732096076</v>
      </c>
      <c r="C10">
        <f t="shared" si="6"/>
        <v>56.25</v>
      </c>
      <c r="D10">
        <f t="shared" si="6"/>
        <v>67.339934937260921</v>
      </c>
      <c r="E10">
        <f t="shared" si="6"/>
        <v>88.53362734288865</v>
      </c>
      <c r="F10">
        <f t="shared" si="6"/>
        <v>25.473684210526315</v>
      </c>
      <c r="G10">
        <f t="shared" si="6"/>
        <v>75.581395348837205</v>
      </c>
      <c r="H10">
        <f t="shared" si="6"/>
        <v>43.350097959573759</v>
      </c>
      <c r="I10">
        <f t="shared" si="6"/>
        <v>71.315859855576363</v>
      </c>
      <c r="J10">
        <f t="shared" si="6"/>
        <v>60.844278899562177</v>
      </c>
      <c r="K10">
        <f t="shared" si="6"/>
        <v>88.753769821967126</v>
      </c>
      <c r="L10">
        <f t="shared" si="6"/>
        <v>76.338435262431844</v>
      </c>
      <c r="M10">
        <f t="shared" si="6"/>
        <v>23.821989528795811</v>
      </c>
      <c r="N10">
        <f t="shared" si="6"/>
        <v>91.459399219897676</v>
      </c>
      <c r="O10">
        <f t="shared" si="6"/>
        <v>55.556636092385901</v>
      </c>
      <c r="P10">
        <f t="shared" si="6"/>
        <v>85.454545454545453</v>
      </c>
      <c r="Q10">
        <f t="shared" si="6"/>
        <v>89.949591827630812</v>
      </c>
      <c r="R10">
        <f t="shared" si="6"/>
        <v>26.272053953152287</v>
      </c>
      <c r="S10">
        <f t="shared" si="6"/>
        <v>54.166666666666664</v>
      </c>
      <c r="T10">
        <f t="shared" si="6"/>
        <v>58.531073446327689</v>
      </c>
      <c r="U10">
        <f t="shared" si="6"/>
        <v>86.868686868686879</v>
      </c>
      <c r="V10">
        <f t="shared" si="6"/>
        <v>30.173782329554232</v>
      </c>
      <c r="W10">
        <f t="shared" si="6"/>
        <v>46.961325966850829</v>
      </c>
      <c r="X10">
        <f t="shared" si="6"/>
        <v>8.5250338294993231</v>
      </c>
      <c r="Y10">
        <f t="shared" si="6"/>
        <v>75.608413941348076</v>
      </c>
      <c r="Z10">
        <f t="shared" si="6"/>
        <v>97.872340425531917</v>
      </c>
      <c r="AA10">
        <f t="shared" si="6"/>
        <v>52.584502400903865</v>
      </c>
      <c r="AB10">
        <f t="shared" si="6"/>
        <v>84.181818181818187</v>
      </c>
      <c r="AC10">
        <f t="shared" si="6"/>
        <v>83.428571428571431</v>
      </c>
      <c r="AD10">
        <f t="shared" si="6"/>
        <v>79.629629629629633</v>
      </c>
      <c r="AE10">
        <f t="shared" si="6"/>
        <v>66.580756013745699</v>
      </c>
      <c r="AF10">
        <f t="shared" si="6"/>
        <v>65.044247787610615</v>
      </c>
      <c r="AG10">
        <f t="shared" si="6"/>
        <v>84.973699590882518</v>
      </c>
      <c r="AH10">
        <f t="shared" ref="AH10:BM10" si="7">(AH4/AH2*100)</f>
        <v>0</v>
      </c>
      <c r="AI10">
        <f t="shared" si="7"/>
        <v>33.616003479017174</v>
      </c>
      <c r="AJ10">
        <f t="shared" si="7"/>
        <v>87.85249457700651</v>
      </c>
      <c r="AK10">
        <f t="shared" si="7"/>
        <v>91.961152323933746</v>
      </c>
      <c r="AL10">
        <f t="shared" si="7"/>
        <v>90.880702441722462</v>
      </c>
      <c r="AM10">
        <f t="shared" si="7"/>
        <v>51.015359722443712</v>
      </c>
      <c r="AN10">
        <f t="shared" si="7"/>
        <v>92.655367231638422</v>
      </c>
      <c r="AO10">
        <f t="shared" si="7"/>
        <v>25.906249999999996</v>
      </c>
      <c r="AP10">
        <f t="shared" si="7"/>
        <v>64.450474898236081</v>
      </c>
      <c r="AQ10">
        <f t="shared" si="7"/>
        <v>24.139890158449592</v>
      </c>
      <c r="AR10">
        <f t="shared" si="7"/>
        <v>66.183328010220379</v>
      </c>
      <c r="AS10">
        <f t="shared" si="7"/>
        <v>80.639213275968032</v>
      </c>
      <c r="AT10">
        <f t="shared" si="7"/>
        <v>92.851500789889414</v>
      </c>
      <c r="AU10">
        <f t="shared" si="7"/>
        <v>80.377358490566039</v>
      </c>
      <c r="AV10">
        <f t="shared" si="7"/>
        <v>73.653003351379226</v>
      </c>
      <c r="AW10">
        <f t="shared" si="7"/>
        <v>91.599447714555623</v>
      </c>
      <c r="AX10">
        <f t="shared" si="7"/>
        <v>98.379126309547331</v>
      </c>
      <c r="AY10">
        <f t="shared" si="7"/>
        <v>100</v>
      </c>
      <c r="AZ10">
        <f t="shared" si="7"/>
        <v>47.078994949809839</v>
      </c>
      <c r="BA10">
        <f t="shared" si="7"/>
        <v>42.996020256034299</v>
      </c>
      <c r="BB10">
        <f t="shared" si="7"/>
        <v>37.670033087519734</v>
      </c>
      <c r="BC10">
        <f t="shared" si="7"/>
        <v>51.732623877618892</v>
      </c>
      <c r="BD10">
        <f t="shared" si="7"/>
        <v>27.417779225008143</v>
      </c>
      <c r="BE10">
        <f t="shared" si="7"/>
        <v>72.075471698113205</v>
      </c>
      <c r="BF10">
        <f t="shared" si="7"/>
        <v>94.542772861356923</v>
      </c>
      <c r="BG10">
        <f t="shared" si="7"/>
        <v>44.2573402417962</v>
      </c>
      <c r="BH10">
        <f t="shared" si="7"/>
        <v>43.899085722142026</v>
      </c>
      <c r="BI10">
        <f t="shared" si="7"/>
        <v>66.666666666666657</v>
      </c>
      <c r="BJ10">
        <f t="shared" si="7"/>
        <v>93.538794268721276</v>
      </c>
      <c r="BK10">
        <f t="shared" si="7"/>
        <v>36.855576532094105</v>
      </c>
      <c r="BL10">
        <f t="shared" si="7"/>
        <v>65.127277785505626</v>
      </c>
      <c r="BM10">
        <f t="shared" si="7"/>
        <v>20.245398773006134</v>
      </c>
      <c r="BN10">
        <f t="shared" ref="BN10:CS10" si="8">(BN4/BN2*100)</f>
        <v>81.090589270008792</v>
      </c>
      <c r="BO10">
        <f t="shared" si="8"/>
        <v>91.889412491791873</v>
      </c>
      <c r="BP10">
        <f t="shared" si="8"/>
        <v>88.630145134427778</v>
      </c>
      <c r="BQ10">
        <f t="shared" si="8"/>
        <v>32.505322924059612</v>
      </c>
      <c r="BR10">
        <f t="shared" si="8"/>
        <v>92.857142857142861</v>
      </c>
      <c r="BS10">
        <f t="shared" si="8"/>
        <v>100</v>
      </c>
      <c r="BT10">
        <f t="shared" si="8"/>
        <v>71.630360414045782</v>
      </c>
      <c r="BU10">
        <f t="shared" si="8"/>
        <v>88.6888731396173</v>
      </c>
      <c r="BV10">
        <f t="shared" si="8"/>
        <v>41.095189355168884</v>
      </c>
      <c r="BW10">
        <f t="shared" si="8"/>
        <v>46.529562982005139</v>
      </c>
      <c r="BX10">
        <f t="shared" si="8"/>
        <v>59.468664850136243</v>
      </c>
      <c r="BY10">
        <f t="shared" si="8"/>
        <v>100</v>
      </c>
      <c r="BZ10">
        <f t="shared" si="8"/>
        <v>12.679600412672052</v>
      </c>
      <c r="CA10">
        <f t="shared" si="8"/>
        <v>74.842625899280577</v>
      </c>
      <c r="CB10">
        <f t="shared" si="8"/>
        <v>98.327939590075502</v>
      </c>
      <c r="CC10">
        <f t="shared" si="8"/>
        <v>64.264803154979518</v>
      </c>
      <c r="CD10">
        <f t="shared" si="8"/>
        <v>57.997268277120327</v>
      </c>
      <c r="CE10">
        <f t="shared" si="8"/>
        <v>86.900131468702952</v>
      </c>
      <c r="CF10">
        <f t="shared" si="8"/>
        <v>68.520673269085577</v>
      </c>
      <c r="CG10">
        <f t="shared" si="8"/>
        <v>90.236366445234054</v>
      </c>
      <c r="CH10">
        <f t="shared" si="8"/>
        <v>42.405251230757209</v>
      </c>
      <c r="CI10">
        <f t="shared" si="8"/>
        <v>80.635115272488079</v>
      </c>
      <c r="CJ10">
        <f t="shared" si="8"/>
        <v>83.704572098475978</v>
      </c>
      <c r="CK10">
        <f t="shared" si="8"/>
        <v>70.547813242566306</v>
      </c>
      <c r="CL10">
        <f t="shared" si="8"/>
        <v>88.520408163265301</v>
      </c>
      <c r="CM10">
        <f t="shared" si="8"/>
        <v>64.270862867403835</v>
      </c>
      <c r="CN10">
        <f t="shared" si="8"/>
        <v>43.577190542420027</v>
      </c>
      <c r="CO10">
        <f t="shared" si="8"/>
        <v>54.323485768244971</v>
      </c>
      <c r="CP10">
        <f t="shared" si="8"/>
        <v>85.520123021482163</v>
      </c>
      <c r="CQ10">
        <f t="shared" si="8"/>
        <v>63.686328688130715</v>
      </c>
      <c r="CR10">
        <f t="shared" si="8"/>
        <v>95</v>
      </c>
      <c r="CS10">
        <f t="shared" si="8"/>
        <v>85.726004922067261</v>
      </c>
      <c r="CT10">
        <f t="shared" ref="CT10:DY10" si="9">(CT4/CT2*100)</f>
        <v>44.023699124162803</v>
      </c>
      <c r="CU10">
        <f t="shared" si="9"/>
        <v>25.346534653465348</v>
      </c>
      <c r="CV10">
        <f t="shared" si="9"/>
        <v>55.355612682090829</v>
      </c>
      <c r="CW10">
        <f t="shared" si="9"/>
        <v>20.410328970640254</v>
      </c>
      <c r="CX10">
        <f t="shared" si="9"/>
        <v>94.186046511627907</v>
      </c>
      <c r="CY10">
        <f t="shared" si="9"/>
        <v>80.237741456166418</v>
      </c>
      <c r="CZ10">
        <f t="shared" si="9"/>
        <v>76.332858724885298</v>
      </c>
      <c r="DA10">
        <f t="shared" si="9"/>
        <v>64.602683178534576</v>
      </c>
      <c r="DB10">
        <f t="shared" si="9"/>
        <v>44.896288209606986</v>
      </c>
      <c r="DC10">
        <f t="shared" si="9"/>
        <v>96.597035040431265</v>
      </c>
      <c r="DD10">
        <f t="shared" si="9"/>
        <v>75.60106856634016</v>
      </c>
      <c r="DE10">
        <f t="shared" si="9"/>
        <v>76.124154397134902</v>
      </c>
      <c r="DF10">
        <f t="shared" si="9"/>
        <v>94.864479315263907</v>
      </c>
      <c r="DG10">
        <f t="shared" si="9"/>
        <v>74.951675257731949</v>
      </c>
      <c r="DH10">
        <f t="shared" si="9"/>
        <v>96.511627906976756</v>
      </c>
      <c r="DI10">
        <f t="shared" si="9"/>
        <v>76.818824290941095</v>
      </c>
      <c r="DJ10">
        <f t="shared" si="9"/>
        <v>69.767642739915345</v>
      </c>
      <c r="DK10">
        <f t="shared" si="9"/>
        <v>89.65517241379311</v>
      </c>
      <c r="DL10">
        <f t="shared" si="9"/>
        <v>76.816608996539799</v>
      </c>
      <c r="DM10">
        <f t="shared" si="9"/>
        <v>27.964051157967507</v>
      </c>
      <c r="DN10">
        <f t="shared" si="9"/>
        <v>79.250251352515917</v>
      </c>
      <c r="DO10">
        <f t="shared" si="9"/>
        <v>0</v>
      </c>
      <c r="DP10">
        <f t="shared" si="9"/>
        <v>5.480195333695062</v>
      </c>
      <c r="DQ10">
        <f t="shared" si="9"/>
        <v>73.346843003412971</v>
      </c>
      <c r="DR10">
        <f t="shared" si="9"/>
        <v>0.35384644187744557</v>
      </c>
      <c r="DS10">
        <f t="shared" si="9"/>
        <v>97.238278741168912</v>
      </c>
      <c r="DT10">
        <f t="shared" si="9"/>
        <v>72.462925268973549</v>
      </c>
      <c r="DU10">
        <f t="shared" si="9"/>
        <v>90.724381625441694</v>
      </c>
      <c r="DV10">
        <f t="shared" si="9"/>
        <v>44.203496843127731</v>
      </c>
      <c r="DW10">
        <f t="shared" si="9"/>
        <v>54.479584842847352</v>
      </c>
      <c r="DX10">
        <f t="shared" si="9"/>
        <v>95.838808585194926</v>
      </c>
      <c r="DY10">
        <f t="shared" si="9"/>
        <v>74.006592436865731</v>
      </c>
      <c r="DZ10">
        <f t="shared" ref="DZ10:FE10" si="10">(DZ4/DZ2*100)</f>
        <v>87.873009854569446</v>
      </c>
      <c r="EA10">
        <f t="shared" si="10"/>
        <v>57.104260929006209</v>
      </c>
      <c r="EB10">
        <f t="shared" si="10"/>
        <v>17.741935483870968</v>
      </c>
      <c r="EC10">
        <f t="shared" si="10"/>
        <v>63.874230430958669</v>
      </c>
      <c r="ED10">
        <f t="shared" si="10"/>
        <v>69.934593564047759</v>
      </c>
      <c r="EE10">
        <f t="shared" si="10"/>
        <v>32.235494880546071</v>
      </c>
      <c r="EF10">
        <f t="shared" si="10"/>
        <v>75.701580572323863</v>
      </c>
      <c r="EG10">
        <f t="shared" si="10"/>
        <v>70.329430008548883</v>
      </c>
      <c r="EH10">
        <f t="shared" si="10"/>
        <v>97.017254121919393</v>
      </c>
      <c r="EI10">
        <f t="shared" si="10"/>
        <v>56.193629907193589</v>
      </c>
      <c r="EJ10">
        <f t="shared" si="10"/>
        <v>73.74357153352598</v>
      </c>
      <c r="EK10">
        <f t="shared" si="10"/>
        <v>51.889302820649284</v>
      </c>
      <c r="EL10">
        <f t="shared" si="10"/>
        <v>88.235294117647058</v>
      </c>
      <c r="EM10">
        <f t="shared" si="10"/>
        <v>91.666666666666657</v>
      </c>
      <c r="EN10">
        <f t="shared" si="10"/>
        <v>75</v>
      </c>
      <c r="EO10">
        <f t="shared" si="10"/>
        <v>93.991416309012877</v>
      </c>
      <c r="EP10">
        <f t="shared" si="10"/>
        <v>84.855491329479776</v>
      </c>
      <c r="EQ10">
        <f t="shared" si="10"/>
        <v>82.89617526976879</v>
      </c>
      <c r="ER10">
        <f t="shared" si="10"/>
        <v>66.335518230233518</v>
      </c>
      <c r="ES10">
        <f t="shared" si="10"/>
        <v>0</v>
      </c>
      <c r="ET10">
        <f t="shared" si="10"/>
        <v>34.210526315789473</v>
      </c>
      <c r="EU10">
        <f t="shared" si="10"/>
        <v>73.864273696017946</v>
      </c>
      <c r="EV10">
        <f t="shared" si="10"/>
        <v>89.877650576340528</v>
      </c>
      <c r="EW10">
        <f t="shared" si="10"/>
        <v>74.094452086198999</v>
      </c>
      <c r="EX10">
        <f t="shared" si="10"/>
        <v>83.037853378054621</v>
      </c>
      <c r="EY10">
        <f t="shared" si="10"/>
        <v>48.279098873591991</v>
      </c>
      <c r="EZ10">
        <f t="shared" si="10"/>
        <v>60.753012514115113</v>
      </c>
      <c r="FA10">
        <f t="shared" si="10"/>
        <v>91.5792438217278</v>
      </c>
      <c r="FB10">
        <f t="shared" si="10"/>
        <v>50.97613882863341</v>
      </c>
      <c r="FC10">
        <f t="shared" si="10"/>
        <v>55.199856105072662</v>
      </c>
      <c r="FD10">
        <f t="shared" si="10"/>
        <v>75.61497326203208</v>
      </c>
      <c r="FE10">
        <f t="shared" si="10"/>
        <v>51.987044817927178</v>
      </c>
      <c r="FF10">
        <f t="shared" ref="FF10:GF10" si="11">(FF4/FF2*100)</f>
        <v>62.37356709372893</v>
      </c>
      <c r="FG10">
        <f t="shared" si="11"/>
        <v>0</v>
      </c>
      <c r="FH10">
        <f t="shared" si="11"/>
        <v>89.624967369550717</v>
      </c>
      <c r="FI10">
        <f t="shared" si="11"/>
        <v>0</v>
      </c>
      <c r="FJ10">
        <f t="shared" si="11"/>
        <v>95.238095238095227</v>
      </c>
      <c r="FK10">
        <f t="shared" si="11"/>
        <v>83.317208016586036</v>
      </c>
      <c r="FL10">
        <f t="shared" si="11"/>
        <v>35.952848722986246</v>
      </c>
      <c r="FM10">
        <f t="shared" si="11"/>
        <v>94.358507734303913</v>
      </c>
      <c r="FN10">
        <f t="shared" si="11"/>
        <v>0</v>
      </c>
      <c r="FO10">
        <f t="shared" si="11"/>
        <v>69.450800915331811</v>
      </c>
      <c r="FP10">
        <f t="shared" si="11"/>
        <v>86.486486486486484</v>
      </c>
      <c r="FQ10">
        <f t="shared" si="11"/>
        <v>79.518900343642613</v>
      </c>
      <c r="FR10">
        <f t="shared" si="11"/>
        <v>92.709861289143205</v>
      </c>
      <c r="FS10">
        <f t="shared" si="11"/>
        <v>30.902656459668286</v>
      </c>
      <c r="FT10">
        <f t="shared" si="11"/>
        <v>87.411347517730491</v>
      </c>
      <c r="FU10">
        <f t="shared" si="11"/>
        <v>55.445928222248718</v>
      </c>
      <c r="FV10">
        <f t="shared" si="11"/>
        <v>88.733798604187442</v>
      </c>
      <c r="FW10">
        <f t="shared" si="11"/>
        <v>0.47628833176448754</v>
      </c>
      <c r="FX10">
        <f t="shared" si="11"/>
        <v>79.118136439267886</v>
      </c>
      <c r="FY10">
        <f t="shared" si="11"/>
        <v>55.042670564383045</v>
      </c>
      <c r="FZ10">
        <f t="shared" si="11"/>
        <v>62.290467850888163</v>
      </c>
      <c r="GA10">
        <f t="shared" si="11"/>
        <v>84.686774941995353</v>
      </c>
      <c r="GB10">
        <f t="shared" si="11"/>
        <v>35.326240466999344</v>
      </c>
      <c r="GC10">
        <f t="shared" si="11"/>
        <v>80</v>
      </c>
      <c r="GD10">
        <f t="shared" si="11"/>
        <v>49.260792430514485</v>
      </c>
      <c r="GE10">
        <f t="shared" si="11"/>
        <v>61.840949033391915</v>
      </c>
      <c r="GF10">
        <f t="shared" si="11"/>
        <v>20.04437869822485</v>
      </c>
    </row>
    <row r="11" spans="1:188" x14ac:dyDescent="0.35">
      <c r="A11" s="24" t="s">
        <v>207</v>
      </c>
      <c r="B11">
        <f t="shared" ref="B11:AG11" si="12">(B2/B6*100)</f>
        <v>9.2959533622714516E-2</v>
      </c>
      <c r="C11">
        <f t="shared" si="12"/>
        <v>0.16959342755962703</v>
      </c>
      <c r="D11">
        <f t="shared" si="12"/>
        <v>6.3681987185790018E-2</v>
      </c>
      <c r="E11">
        <f t="shared" si="12"/>
        <v>1.1736846191671626</v>
      </c>
      <c r="F11">
        <f t="shared" si="12"/>
        <v>2.8826051468156316E-3</v>
      </c>
      <c r="G11">
        <f t="shared" si="12"/>
        <v>8.7746148352208966E-2</v>
      </c>
      <c r="H11">
        <f t="shared" si="12"/>
        <v>0.37008738267649027</v>
      </c>
      <c r="I11">
        <f t="shared" si="12"/>
        <v>1.261551428211853</v>
      </c>
      <c r="J11">
        <f t="shared" si="12"/>
        <v>5.9943912897965218E-2</v>
      </c>
      <c r="K11">
        <f t="shared" si="12"/>
        <v>0.22812877257776301</v>
      </c>
      <c r="L11">
        <f t="shared" si="12"/>
        <v>0.30001252433549336</v>
      </c>
      <c r="M11">
        <f t="shared" si="12"/>
        <v>9.7048900451201167E-2</v>
      </c>
      <c r="N11">
        <f t="shared" si="12"/>
        <v>2.3133952746548978</v>
      </c>
      <c r="O11">
        <f t="shared" si="12"/>
        <v>0.13722964962851603</v>
      </c>
      <c r="P11">
        <f t="shared" si="12"/>
        <v>3.8272717467320319E-2</v>
      </c>
      <c r="Q11">
        <f t="shared" si="12"/>
        <v>0.71172603326002404</v>
      </c>
      <c r="R11">
        <f t="shared" si="12"/>
        <v>0.57291500912612181</v>
      </c>
      <c r="S11">
        <f t="shared" si="12"/>
        <v>1.2050854606439173E-2</v>
      </c>
      <c r="T11">
        <f t="shared" si="12"/>
        <v>1.4565532387489902E-2</v>
      </c>
      <c r="U11">
        <f t="shared" si="12"/>
        <v>1.2816479662577046E-2</v>
      </c>
      <c r="V11">
        <f t="shared" si="12"/>
        <v>0.60898532475495704</v>
      </c>
      <c r="W11">
        <f t="shared" si="12"/>
        <v>0.32019276226495663</v>
      </c>
      <c r="X11">
        <f t="shared" si="12"/>
        <v>3.1365724775314879E-2</v>
      </c>
      <c r="Y11">
        <f t="shared" si="12"/>
        <v>1.1482144959596108</v>
      </c>
      <c r="Z11">
        <f t="shared" si="12"/>
        <v>3.2199646945715046E-2</v>
      </c>
      <c r="AA11">
        <f t="shared" si="12"/>
        <v>0.15297743550418891</v>
      </c>
      <c r="AB11">
        <f t="shared" si="12"/>
        <v>5.2493809071044737E-3</v>
      </c>
      <c r="AC11">
        <f t="shared" si="12"/>
        <v>6.4283418318155131E-4</v>
      </c>
      <c r="AD11">
        <f t="shared" si="12"/>
        <v>3.1705515149197091E-3</v>
      </c>
      <c r="AE11">
        <f t="shared" si="12"/>
        <v>0.41826796099759067</v>
      </c>
      <c r="AF11">
        <f t="shared" si="12"/>
        <v>1.349948854260776E-3</v>
      </c>
      <c r="AG11">
        <f t="shared" si="12"/>
        <v>6.4308348118114478E-2</v>
      </c>
      <c r="AH11">
        <f t="shared" ref="AH11:BM11" si="13">(AH2/AH6*100)</f>
        <v>0.3082936655867467</v>
      </c>
      <c r="AI11">
        <f t="shared" si="13"/>
        <v>9.5064815228229974E-2</v>
      </c>
      <c r="AJ11" t="e">
        <f t="shared" si="13"/>
        <v>#VALUE!</v>
      </c>
      <c r="AK11">
        <f t="shared" si="13"/>
        <v>1.8184907639424697</v>
      </c>
      <c r="AL11">
        <f t="shared" si="13"/>
        <v>6.1470681293536757E-3</v>
      </c>
      <c r="AM11">
        <f t="shared" si="13"/>
        <v>0.50475042711222118</v>
      </c>
      <c r="AN11">
        <f t="shared" si="13"/>
        <v>4.0627732903643417E-2</v>
      </c>
      <c r="AO11">
        <f t="shared" si="13"/>
        <v>5.7860890124701074E-2</v>
      </c>
      <c r="AP11">
        <f t="shared" si="13"/>
        <v>9.2051576402501362E-3</v>
      </c>
      <c r="AQ11">
        <f t="shared" si="13"/>
        <v>0.31068520984637354</v>
      </c>
      <c r="AR11">
        <f t="shared" si="13"/>
        <v>5.9815833715421061E-2</v>
      </c>
      <c r="AS11">
        <f t="shared" si="13"/>
        <v>0.11897400097548444</v>
      </c>
      <c r="AT11">
        <f t="shared" si="13"/>
        <v>2.2355841244920162E-2</v>
      </c>
      <c r="AU11">
        <f t="shared" si="13"/>
        <v>8.7731059609116743E-2</v>
      </c>
      <c r="AV11">
        <f t="shared" si="13"/>
        <v>0.1448601668991531</v>
      </c>
      <c r="AW11">
        <f t="shared" si="13"/>
        <v>0.23749287875160999</v>
      </c>
      <c r="AX11">
        <f t="shared" si="13"/>
        <v>0.51132671037723354</v>
      </c>
      <c r="AY11">
        <f t="shared" si="13"/>
        <v>2.4998611188267315E-2</v>
      </c>
      <c r="AZ11">
        <f t="shared" si="13"/>
        <v>0.59082861881147641</v>
      </c>
      <c r="BA11">
        <f t="shared" si="13"/>
        <v>0.45934579460410035</v>
      </c>
      <c r="BB11">
        <f t="shared" si="13"/>
        <v>9.0211797561417534E-2</v>
      </c>
      <c r="BC11">
        <f t="shared" si="13"/>
        <v>0.23168144794818227</v>
      </c>
      <c r="BD11">
        <f t="shared" si="13"/>
        <v>0.21826565865980196</v>
      </c>
      <c r="BE11">
        <f t="shared" si="13"/>
        <v>7.4623188099713477E-3</v>
      </c>
      <c r="BF11">
        <f t="shared" si="13"/>
        <v>0.15332116714042457</v>
      </c>
      <c r="BG11">
        <f t="shared" si="13"/>
        <v>0.19942342863637774</v>
      </c>
      <c r="BH11">
        <f t="shared" si="13"/>
        <v>1.2625002890029532E-2</v>
      </c>
      <c r="BI11">
        <f t="shared" si="13"/>
        <v>3.0097146901944608E-3</v>
      </c>
      <c r="BJ11">
        <f t="shared" si="13"/>
        <v>0.1334992540066017</v>
      </c>
      <c r="BK11">
        <f t="shared" si="13"/>
        <v>0.33750607650932157</v>
      </c>
      <c r="BL11">
        <f t="shared" si="13"/>
        <v>0.32229531288737417</v>
      </c>
      <c r="BM11">
        <f t="shared" si="13"/>
        <v>1.345576150116768E-2</v>
      </c>
      <c r="BN11">
        <f t="shared" ref="BN11:CS11" si="14">(BN2/BN6*100)</f>
        <v>2.8507900976038319E-2</v>
      </c>
      <c r="BO11">
        <f t="shared" si="14"/>
        <v>0.24711715347078664</v>
      </c>
      <c r="BP11">
        <f t="shared" si="14"/>
        <v>0.10799948081620037</v>
      </c>
      <c r="BQ11">
        <f t="shared" si="14"/>
        <v>4.0575280103339779E-2</v>
      </c>
      <c r="BR11">
        <f t="shared" si="14"/>
        <v>2.4656569214512151E-2</v>
      </c>
      <c r="BS11">
        <f t="shared" si="14"/>
        <v>2.0430642410460487E-2</v>
      </c>
      <c r="BT11">
        <f t="shared" si="14"/>
        <v>0.2524614419460432</v>
      </c>
      <c r="BU11">
        <f t="shared" si="14"/>
        <v>5.358944861356766E-2</v>
      </c>
      <c r="BV11">
        <f t="shared" si="14"/>
        <v>9.9073304611877536E-2</v>
      </c>
      <c r="BW11">
        <f t="shared" si="14"/>
        <v>4.9432228287942089E-2</v>
      </c>
      <c r="BX11">
        <f t="shared" si="14"/>
        <v>6.4295145199723583E-2</v>
      </c>
      <c r="BY11">
        <f t="shared" si="14"/>
        <v>2.2727272727272729</v>
      </c>
      <c r="BZ11">
        <f t="shared" si="14"/>
        <v>0.39693034936582633</v>
      </c>
      <c r="CA11">
        <f t="shared" si="14"/>
        <v>4.6056109138896753E-2</v>
      </c>
      <c r="CB11">
        <f t="shared" si="14"/>
        <v>0.54295462199639788</v>
      </c>
      <c r="CC11">
        <f t="shared" si="14"/>
        <v>0.10714723716482247</v>
      </c>
      <c r="CD11">
        <f t="shared" si="14"/>
        <v>3.6632555035343788E-2</v>
      </c>
      <c r="CE11">
        <f t="shared" si="14"/>
        <v>0.34912520654715773</v>
      </c>
      <c r="CF11">
        <f t="shared" si="14"/>
        <v>0.27932548545781927</v>
      </c>
      <c r="CG11">
        <f t="shared" si="14"/>
        <v>0.5237902573231914</v>
      </c>
      <c r="CH11">
        <f t="shared" si="14"/>
        <v>0.69567136608611602</v>
      </c>
      <c r="CI11">
        <f t="shared" si="14"/>
        <v>0.40740370202304726</v>
      </c>
      <c r="CJ11">
        <f t="shared" si="14"/>
        <v>2.8793462770018881E-2</v>
      </c>
      <c r="CK11">
        <f t="shared" si="14"/>
        <v>2.4630670639094562E-2</v>
      </c>
      <c r="CL11">
        <f t="shared" si="14"/>
        <v>1.1514580533426652E-2</v>
      </c>
      <c r="CM11">
        <f t="shared" si="14"/>
        <v>0.45028724643082407</v>
      </c>
      <c r="CN11">
        <f t="shared" si="14"/>
        <v>3.336045474893265E-2</v>
      </c>
      <c r="CO11">
        <f t="shared" si="14"/>
        <v>0.41409891450558389</v>
      </c>
      <c r="CP11">
        <f t="shared" si="14"/>
        <v>1.5053576881761412</v>
      </c>
      <c r="CQ11">
        <f t="shared" si="14"/>
        <v>0.50954330100379841</v>
      </c>
      <c r="CR11">
        <f t="shared" si="14"/>
        <v>2.7450845829187116E-4</v>
      </c>
      <c r="CS11">
        <f t="shared" si="14"/>
        <v>6.47049581302125E-2</v>
      </c>
      <c r="CT11">
        <f t="shared" ref="CT11:DY11" si="15">(CT2/CT6*100)</f>
        <v>5.6902298665243864E-2</v>
      </c>
      <c r="CU11">
        <f t="shared" si="15"/>
        <v>2.3554730699463559E-2</v>
      </c>
      <c r="CV11">
        <f t="shared" si="15"/>
        <v>2.3024027456793942E-2</v>
      </c>
      <c r="CW11">
        <f t="shared" si="15"/>
        <v>4.1088008129815431E-2</v>
      </c>
      <c r="CX11">
        <f t="shared" si="15"/>
        <v>0.22549096725136999</v>
      </c>
      <c r="CY11">
        <f t="shared" si="15"/>
        <v>7.4279253940497864E-2</v>
      </c>
      <c r="CZ11">
        <f t="shared" si="15"/>
        <v>1.0082111549209509</v>
      </c>
      <c r="DA11">
        <f t="shared" si="15"/>
        <v>3.4911737794618682E-2</v>
      </c>
      <c r="DB11">
        <f t="shared" si="15"/>
        <v>1.910837426066524E-2</v>
      </c>
      <c r="DC11">
        <f t="shared" si="15"/>
        <v>2.7476077852837094E-2</v>
      </c>
      <c r="DD11">
        <f t="shared" si="15"/>
        <v>0.62222041636500647</v>
      </c>
      <c r="DE11">
        <f t="shared" si="15"/>
        <v>1.2377541514880066E-2</v>
      </c>
      <c r="DF11">
        <f t="shared" si="15"/>
        <v>0.15871829879342395</v>
      </c>
      <c r="DG11">
        <f t="shared" si="15"/>
        <v>0.13319807549378554</v>
      </c>
      <c r="DH11">
        <f t="shared" si="15"/>
        <v>2.7044344076384549E-2</v>
      </c>
      <c r="DI11">
        <f t="shared" si="15"/>
        <v>0.30642346529872738</v>
      </c>
      <c r="DJ11">
        <f t="shared" si="15"/>
        <v>0.57411598313208856</v>
      </c>
      <c r="DK11">
        <f t="shared" si="15"/>
        <v>0.29539088362617777</v>
      </c>
      <c r="DL11">
        <f t="shared" si="15"/>
        <v>8.8020018615167939E-3</v>
      </c>
      <c r="DM11">
        <f t="shared" si="15"/>
        <v>0.46061451357642574</v>
      </c>
      <c r="DN11">
        <f t="shared" si="15"/>
        <v>5.6522601910153819E-2</v>
      </c>
      <c r="DO11">
        <f t="shared" si="15"/>
        <v>5.428614485458302E-3</v>
      </c>
      <c r="DP11">
        <f t="shared" si="15"/>
        <v>7.2408991758811658E-2</v>
      </c>
      <c r="DQ11">
        <f t="shared" si="15"/>
        <v>6.4248913007204769E-2</v>
      </c>
      <c r="DR11">
        <f t="shared" si="15"/>
        <v>0.31165039049508614</v>
      </c>
      <c r="DS11">
        <f t="shared" si="15"/>
        <v>3.1126926690789869E-2</v>
      </c>
      <c r="DT11">
        <f t="shared" si="15"/>
        <v>5.1852587872344626E-2</v>
      </c>
      <c r="DU11">
        <f t="shared" si="15"/>
        <v>4.6619983260460778E-3</v>
      </c>
      <c r="DV11">
        <f t="shared" si="15"/>
        <v>1.9931628415977634E-2</v>
      </c>
      <c r="DW11">
        <f t="shared" si="15"/>
        <v>0.49021654870845965</v>
      </c>
      <c r="DX11">
        <f t="shared" si="15"/>
        <v>0.16831718389057834</v>
      </c>
      <c r="DY11">
        <f t="shared" si="15"/>
        <v>1.5054960040606076</v>
      </c>
      <c r="DZ11">
        <f t="shared" ref="DZ11:FE11" si="16">(DZ2/DZ6*100)</f>
        <v>0.12394674313166405</v>
      </c>
      <c r="EA11">
        <f t="shared" si="16"/>
        <v>1.2018371235089997</v>
      </c>
      <c r="EB11">
        <f t="shared" si="16"/>
        <v>6.9173198420307289E-4</v>
      </c>
      <c r="EC11">
        <f t="shared" si="16"/>
        <v>6.3687747432430136E-2</v>
      </c>
      <c r="ED11">
        <f t="shared" si="16"/>
        <v>1.180376891803111</v>
      </c>
      <c r="EE11">
        <f t="shared" si="16"/>
        <v>7.4770294381786145E-2</v>
      </c>
      <c r="EF11">
        <f t="shared" si="16"/>
        <v>0.11469175421727779</v>
      </c>
      <c r="EG11">
        <f t="shared" si="16"/>
        <v>0.49343739739265635</v>
      </c>
      <c r="EH11">
        <f t="shared" si="16"/>
        <v>3.9032981278970582</v>
      </c>
      <c r="EI11">
        <f t="shared" si="16"/>
        <v>0.23877416293145304</v>
      </c>
      <c r="EJ11">
        <f t="shared" si="16"/>
        <v>0.55959629253820542</v>
      </c>
      <c r="EK11">
        <f t="shared" si="16"/>
        <v>1.4474393111575461E-2</v>
      </c>
      <c r="EL11">
        <f t="shared" si="16"/>
        <v>3.1932678400360653E-2</v>
      </c>
      <c r="EM11">
        <f t="shared" si="16"/>
        <v>1.306392614527086E-2</v>
      </c>
      <c r="EN11">
        <f t="shared" si="16"/>
        <v>0.05</v>
      </c>
      <c r="EO11">
        <f t="shared" si="16"/>
        <v>2.0596381637102956</v>
      </c>
      <c r="EP11">
        <f t="shared" si="16"/>
        <v>0.39399846955507783</v>
      </c>
      <c r="EQ11">
        <f t="shared" si="16"/>
        <v>0.77133776396371478</v>
      </c>
      <c r="ER11">
        <f t="shared" si="16"/>
        <v>5.8174878188156406E-2</v>
      </c>
      <c r="ES11">
        <f t="shared" si="16"/>
        <v>0.27641316675187333</v>
      </c>
      <c r="ET11">
        <f t="shared" si="16"/>
        <v>0.1158442403056662</v>
      </c>
      <c r="EU11">
        <f t="shared" si="16"/>
        <v>2.2309338053286911E-2</v>
      </c>
      <c r="EV11">
        <f t="shared" si="16"/>
        <v>0.86829360272672684</v>
      </c>
      <c r="EW11">
        <f t="shared" si="16"/>
        <v>3.9945676809986973E-2</v>
      </c>
      <c r="EX11">
        <f t="shared" si="16"/>
        <v>0.10038634553297598</v>
      </c>
      <c r="EY11">
        <f t="shared" si="16"/>
        <v>2.0058981942648383E-2</v>
      </c>
      <c r="EZ11">
        <f t="shared" si="16"/>
        <v>0.76206983157028907</v>
      </c>
      <c r="FA11">
        <f t="shared" si="16"/>
        <v>2.7700343715959665E-2</v>
      </c>
      <c r="FB11">
        <f t="shared" si="16"/>
        <v>2.0568287965311783E-2</v>
      </c>
      <c r="FC11">
        <f t="shared" si="16"/>
        <v>0.58263586388827537</v>
      </c>
      <c r="FD11">
        <f t="shared" si="16"/>
        <v>1.3093794232400705E-2</v>
      </c>
      <c r="FE11">
        <f t="shared" si="16"/>
        <v>2.5996997601649537E-2</v>
      </c>
      <c r="FF11">
        <f t="shared" ref="FF11:GF11" si="17">(FF2/FF6*100)</f>
        <v>0.25257428204525556</v>
      </c>
      <c r="FG11">
        <f t="shared" si="17"/>
        <v>0.78565381002763213</v>
      </c>
      <c r="FH11">
        <f t="shared" si="17"/>
        <v>0.39807402234765876</v>
      </c>
      <c r="FI11">
        <f t="shared" si="17"/>
        <v>3.8427330155761815E-3</v>
      </c>
      <c r="FJ11">
        <f t="shared" si="17"/>
        <v>1.9394489756791838E-3</v>
      </c>
      <c r="FK11">
        <f t="shared" si="17"/>
        <v>7.5699965723139223E-2</v>
      </c>
      <c r="FL11">
        <f t="shared" si="17"/>
        <v>8.4994279918358066E-4</v>
      </c>
      <c r="FM11">
        <f t="shared" si="17"/>
        <v>4.7222850921283879E-3</v>
      </c>
      <c r="FN11">
        <f t="shared" si="17"/>
        <v>1.8170640484792687E-3</v>
      </c>
      <c r="FO11">
        <f t="shared" si="17"/>
        <v>1.0534458648151732E-2</v>
      </c>
      <c r="FP11">
        <f t="shared" si="17"/>
        <v>1.0571806135933426E-2</v>
      </c>
      <c r="FQ11">
        <f t="shared" si="17"/>
        <v>1.2298406506879795E-2</v>
      </c>
      <c r="FR11">
        <f t="shared" si="17"/>
        <v>0.26888959820844971</v>
      </c>
      <c r="FS11">
        <f t="shared" si="17"/>
        <v>1.2953753694201111</v>
      </c>
      <c r="FT11">
        <f t="shared" si="17"/>
        <v>2.459238771416634E-3</v>
      </c>
      <c r="FU11">
        <f t="shared" si="17"/>
        <v>0.15351717840661086</v>
      </c>
      <c r="FV11">
        <f t="shared" si="17"/>
        <v>0.59762197413290685</v>
      </c>
      <c r="FW11">
        <f t="shared" si="17"/>
        <v>0.44419756659507326</v>
      </c>
      <c r="FX11">
        <f t="shared" si="17"/>
        <v>3.4590366036289379E-2</v>
      </c>
      <c r="FY11">
        <f t="shared" si="17"/>
        <v>6.3280173392866637E-2</v>
      </c>
      <c r="FZ11">
        <f t="shared" si="17"/>
        <v>5.6241317605885771E-2</v>
      </c>
      <c r="GA11">
        <f t="shared" si="17"/>
        <v>4.4238944908348921E-4</v>
      </c>
      <c r="GB11">
        <f t="shared" si="17"/>
        <v>0.22127083333333333</v>
      </c>
      <c r="GC11">
        <f t="shared" si="17"/>
        <v>1.6703358377235327E-3</v>
      </c>
      <c r="GD11">
        <f t="shared" si="17"/>
        <v>5.6579978844909862E-3</v>
      </c>
      <c r="GE11">
        <f t="shared" si="17"/>
        <v>2.4698687676033088E-2</v>
      </c>
      <c r="GF11">
        <f t="shared" si="17"/>
        <v>1.8167399823821907E-2</v>
      </c>
    </row>
    <row r="12" spans="1:188" x14ac:dyDescent="0.35">
      <c r="A12" s="24" t="s">
        <v>208</v>
      </c>
      <c r="B12" s="23" t="str" cm="1">
        <f t="array" ref="B12">_xlfn.IFS(B9&gt;5,"HIGH RISK",AND(B9&gt;=2,B9&lt;=5),"MODERATE RISK",B9&lt;2,"LOW RISK")</f>
        <v>MODERATE RISK</v>
      </c>
      <c r="C12" s="23" t="str" cm="1">
        <f t="array" ref="C12">_xlfn.IFS(C9&gt;5,"HIGH RISK",AND(C9&gt;=2,C9&lt;=5),"MODERATE RISK",C9&lt;2,"LOW RISK")</f>
        <v>MODERATE RISK</v>
      </c>
      <c r="D12" s="23" t="str" cm="1">
        <f t="array" ref="D12">_xlfn.IFS(D9&gt;5,"HIGH RISK",AND(D9&gt;=2,D9&lt;=5),"MODERATE RISK",D9&lt;2,"LOW RISK")</f>
        <v>MODERATE RISK</v>
      </c>
      <c r="E12" s="23" t="str" cm="1">
        <f t="array" ref="E12">_xlfn.IFS(E9&gt;5,"HIGH RISK",AND(E9&gt;=2,E9&lt;=5),"MODERATE RISK",E9&lt;2,"LOW RISK")</f>
        <v>HIGH RISK</v>
      </c>
      <c r="F12" s="23" t="str" cm="1">
        <f t="array" ref="F12">_xlfn.IFS(F9&gt;5,"HIGH RISK",AND(F9&gt;=2,F9&lt;=5),"MODERATE RISK",F9&lt;2,"LOW RISK")</f>
        <v>MODERATE RISK</v>
      </c>
      <c r="G12" s="23" t="str" cm="1">
        <f t="array" ref="G12">_xlfn.IFS(G9&gt;5,"HIGH RISK",AND(G9&gt;=2,G9&lt;=5),"MODERATE RISK",G9&lt;2,"LOW RISK")</f>
        <v>MODERATE RISK</v>
      </c>
      <c r="H12" s="23" t="str" cm="1">
        <f t="array" ref="H12">_xlfn.IFS(H9&gt;5,"HIGH RISK",AND(H9&gt;=2,H9&lt;=5),"MODERATE RISK",H9&lt;2,"LOW RISK")</f>
        <v>LOW RISK</v>
      </c>
      <c r="I12" s="23" t="str" cm="1">
        <f t="array" ref="I12">_xlfn.IFS(I9&gt;5,"HIGH RISK",AND(I9&gt;=2,I9&lt;=5),"MODERATE RISK",I9&lt;2,"LOW RISK")</f>
        <v>LOW RISK</v>
      </c>
      <c r="J12" s="23" t="str" cm="1">
        <f t="array" ref="J12">_xlfn.IFS(J9&gt;5,"HIGH RISK",AND(J9&gt;=2,J9&lt;=5),"MODERATE RISK",J9&lt;2,"LOW RISK")</f>
        <v>LOW RISK</v>
      </c>
      <c r="K12" s="23" t="str" cm="1">
        <f t="array" ref="K12">_xlfn.IFS(K9&gt;5,"HIGH RISK",AND(K9&gt;=2,K9&lt;=5),"MODERATE RISK",K9&lt;2,"LOW RISK")</f>
        <v>MODERATE RISK</v>
      </c>
      <c r="L12" s="23" t="str" cm="1">
        <f t="array" ref="L12">_xlfn.IFS(L9&gt;5,"HIGH RISK",AND(L9&gt;=2,L9&lt;=5),"MODERATE RISK",L9&lt;2,"LOW RISK")</f>
        <v>LOW RISK</v>
      </c>
      <c r="M12" s="23" t="str" cm="1">
        <f t="array" ref="M12">_xlfn.IFS(M9&gt;5,"HIGH RISK",AND(M9&gt;=2,M9&lt;=5),"MODERATE RISK",M9&lt;2,"LOW RISK")</f>
        <v>MODERATE RISK</v>
      </c>
      <c r="N12" s="23" t="str" cm="1">
        <f t="array" ref="N12">_xlfn.IFS(N9&gt;5,"HIGH RISK",AND(N9&gt;=2,N9&lt;=5),"MODERATE RISK",N9&lt;2,"LOW RISK")</f>
        <v>LOW RISK</v>
      </c>
      <c r="O12" s="23" t="str" cm="1">
        <f t="array" ref="O12">_xlfn.IFS(O9&gt;5,"HIGH RISK",AND(O9&gt;=2,O9&lt;=5),"MODERATE RISK",O9&lt;2,"LOW RISK")</f>
        <v>LOW RISK</v>
      </c>
      <c r="P12" s="23" t="str" cm="1">
        <f t="array" ref="P12">_xlfn.IFS(P9&gt;5,"HIGH RISK",AND(P9&gt;=2,P9&lt;=5),"MODERATE RISK",P9&lt;2,"LOW RISK")</f>
        <v>HIGH RISK</v>
      </c>
      <c r="Q12" s="23" t="str" cm="1">
        <f t="array" ref="Q12">_xlfn.IFS(Q9&gt;5,"HIGH RISK",AND(Q9&gt;=2,Q9&lt;=5),"MODERATE RISK",Q9&lt;2,"LOW RISK")</f>
        <v>LOW RISK</v>
      </c>
      <c r="R12" s="23" t="str" cm="1">
        <f t="array" ref="R12">_xlfn.IFS(R9&gt;5,"HIGH RISK",AND(R9&gt;=2,R9&lt;=5),"MODERATE RISK",R9&lt;2,"LOW RISK")</f>
        <v>HIGH RISK</v>
      </c>
      <c r="S12" s="23" t="str" cm="1">
        <f t="array" ref="S12">_xlfn.IFS(S9&gt;5,"HIGH RISK",AND(S9&gt;=2,S9&lt;=5),"MODERATE RISK",S9&lt;2,"LOW RISK")</f>
        <v>MODERATE RISK</v>
      </c>
      <c r="T12" s="23" t="str" cm="1">
        <f t="array" ref="T12">_xlfn.IFS(T9&gt;5,"HIGH RISK",AND(T9&gt;=2,T9&lt;=5),"MODERATE RISK",T9&lt;2,"LOW RISK")</f>
        <v>LOW RISK</v>
      </c>
      <c r="U12" s="23" t="str" cm="1">
        <f t="array" ref="U12">_xlfn.IFS(U9&gt;5,"HIGH RISK",AND(U9&gt;=2,U9&lt;=5),"MODERATE RISK",U9&lt;2,"LOW RISK")</f>
        <v>LOW RISK</v>
      </c>
      <c r="V12" s="23" t="str" cm="1">
        <f t="array" ref="V12">_xlfn.IFS(V9&gt;5,"HIGH RISK",AND(V9&gt;=2,V9&lt;=5),"MODERATE RISK",V9&lt;2,"LOW RISK")</f>
        <v>MODERATE RISK</v>
      </c>
      <c r="W12" s="23" t="str" cm="1">
        <f t="array" ref="W12">_xlfn.IFS(W9&gt;5,"HIGH RISK",AND(W9&gt;=2,W9&lt;=5),"MODERATE RISK",W9&lt;2,"LOW RISK")</f>
        <v>MODERATE RISK</v>
      </c>
      <c r="X12" s="23" t="str" cm="1">
        <f t="array" ref="X12">_xlfn.IFS(X9&gt;5,"HIGH RISK",AND(X9&gt;=2,X9&lt;=5),"MODERATE RISK",X9&lt;2,"LOW RISK")</f>
        <v>LOW RISK</v>
      </c>
      <c r="Y12" s="23" t="str" cm="1">
        <f t="array" ref="Y12">_xlfn.IFS(Y9&gt;5,"HIGH RISK",AND(Y9&gt;=2,Y9&lt;=5),"MODERATE RISK",Y9&lt;2,"LOW RISK")</f>
        <v>MODERATE RISK</v>
      </c>
      <c r="Z12" s="23" t="str" cm="1">
        <f t="array" ref="Z12">_xlfn.IFS(Z9&gt;5,"HIGH RISK",AND(Z9&gt;=2,Z9&lt;=5),"MODERATE RISK",Z9&lt;2,"LOW RISK")</f>
        <v>MODERATE RISK</v>
      </c>
      <c r="AA12" s="23" t="str" cm="1">
        <f t="array" ref="AA12">_xlfn.IFS(AA9&gt;5,"HIGH RISK",AND(AA9&gt;=2,AA9&lt;=5),"MODERATE RISK",AA9&lt;2,"LOW RISK")</f>
        <v>MODERATE RISK</v>
      </c>
      <c r="AB12" s="23" t="str" cm="1">
        <f t="array" ref="AB12">_xlfn.IFS(AB9&gt;5,"HIGH RISK",AND(AB9&gt;=2,AB9&lt;=5),"MODERATE RISK",AB9&lt;2,"LOW RISK")</f>
        <v>MODERATE RISK</v>
      </c>
      <c r="AC12" s="23" t="str" cm="1">
        <f t="array" ref="AC12">_xlfn.IFS(AC9&gt;5,"HIGH RISK",AND(AC9&gt;=2,AC9&lt;=5),"MODERATE RISK",AC9&lt;2,"LOW RISK")</f>
        <v>LOW RISK</v>
      </c>
      <c r="AD12" s="23" t="str" cm="1">
        <f t="array" ref="AD12">_xlfn.IFS(AD9&gt;5,"HIGH RISK",AND(AD9&gt;=2,AD9&lt;=5),"MODERATE RISK",AD9&lt;2,"LOW RISK")</f>
        <v>LOW RISK</v>
      </c>
      <c r="AE12" s="23" t="str" cm="1">
        <f t="array" ref="AE12">_xlfn.IFS(AE9&gt;5,"HIGH RISK",AND(AE9&gt;=2,AE9&lt;=5),"MODERATE RISK",AE9&lt;2,"LOW RISK")</f>
        <v>LOW RISK</v>
      </c>
      <c r="AF12" s="23" t="str" cm="1">
        <f t="array" ref="AF12">_xlfn.IFS(AF9&gt;5,"HIGH RISK",AND(AF9&gt;=2,AF9&lt;=5),"MODERATE RISK",AF9&lt;2,"LOW RISK")</f>
        <v>LOW RISK</v>
      </c>
      <c r="AG12" s="23" t="str" cm="1">
        <f t="array" ref="AG12">_xlfn.IFS(AG9&gt;5,"HIGH RISK",AND(AG9&gt;=2,AG9&lt;=5),"MODERATE RISK",AG9&lt;2,"LOW RISK")</f>
        <v>MODERATE RISK</v>
      </c>
      <c r="AH12" s="23" t="str" cm="1">
        <f t="array" ref="AH12">_xlfn.IFS(AH9&gt;5,"HIGH RISK",AND(AH9&gt;=2,AH9&lt;=5),"MODERATE RISK",AH9&lt;2,"LOW RISK")</f>
        <v>HIGH RISK</v>
      </c>
      <c r="AI12" s="23" t="str" cm="1">
        <f t="array" ref="AI12">_xlfn.IFS(AI9&gt;5,"HIGH RISK",AND(AI9&gt;=2,AI9&lt;=5),"MODERATE RISK",AI9&lt;2,"LOW RISK")</f>
        <v>LOW RISK</v>
      </c>
      <c r="AJ12" s="23" t="str" cm="1">
        <f t="array" ref="AJ12">_xlfn.IFS(AJ9&gt;5,"HIGH RISK",AND(AJ9&gt;=2,AJ9&lt;=5),"MODERATE RISK",AJ9&lt;2,"LOW RISK")</f>
        <v>HIGH RISK</v>
      </c>
      <c r="AK12" s="23" t="str" cm="1">
        <f t="array" ref="AK12">_xlfn.IFS(AK9&gt;5,"HIGH RISK",AND(AK9&gt;=2,AK9&lt;=5),"MODERATE RISK",AK9&lt;2,"LOW RISK")</f>
        <v>MODERATE RISK</v>
      </c>
      <c r="AL12" s="23" t="str" cm="1">
        <f t="array" ref="AL12">_xlfn.IFS(AL9&gt;5,"HIGH RISK",AND(AL9&gt;=2,AL9&lt;=5),"MODERATE RISK",AL9&lt;2,"LOW RISK")</f>
        <v>HIGH RISK</v>
      </c>
      <c r="AM12" s="23" t="str" cm="1">
        <f t="array" ref="AM12">_xlfn.IFS(AM9&gt;5,"HIGH RISK",AND(AM9&gt;=2,AM9&lt;=5),"MODERATE RISK",AM9&lt;2,"LOW RISK")</f>
        <v>MODERATE RISK</v>
      </c>
      <c r="AN12" s="23" t="str" cm="1">
        <f t="array" ref="AN12">_xlfn.IFS(AN9&gt;5,"HIGH RISK",AND(AN9&gt;=2,AN9&lt;=5),"MODERATE RISK",AN9&lt;2,"LOW RISK")</f>
        <v>LOW RISK</v>
      </c>
      <c r="AO12" s="23" t="str" cm="1">
        <f t="array" ref="AO12">_xlfn.IFS(AO9&gt;5,"HIGH RISK",AND(AO9&gt;=2,AO9&lt;=5),"MODERATE RISK",AO9&lt;2,"LOW RISK")</f>
        <v>LOW RISK</v>
      </c>
      <c r="AP12" s="23" t="str" cm="1">
        <f t="array" ref="AP12">_xlfn.IFS(AP9&gt;5,"HIGH RISK",AND(AP9&gt;=2,AP9&lt;=5),"MODERATE RISK",AP9&lt;2,"LOW RISK")</f>
        <v>MODERATE RISK</v>
      </c>
      <c r="AQ12" s="23" t="str" cm="1">
        <f t="array" ref="AQ12">_xlfn.IFS(AQ9&gt;5,"HIGH RISK",AND(AQ9&gt;=2,AQ9&lt;=5),"MODERATE RISK",AQ9&lt;2,"LOW RISK")</f>
        <v>LOW RISK</v>
      </c>
      <c r="AR12" s="23" t="str" cm="1">
        <f t="array" ref="AR12">_xlfn.IFS(AR9&gt;5,"HIGH RISK",AND(AR9&gt;=2,AR9&lt;=5),"MODERATE RISK",AR9&lt;2,"LOW RISK")</f>
        <v>LOW RISK</v>
      </c>
      <c r="AS12" s="23" t="str" cm="1">
        <f t="array" ref="AS12">_xlfn.IFS(AS9&gt;5,"HIGH RISK",AND(AS9&gt;=2,AS9&lt;=5),"MODERATE RISK",AS9&lt;2,"LOW RISK")</f>
        <v>MODERATE RISK</v>
      </c>
      <c r="AT12" s="23" t="str" cm="1">
        <f t="array" ref="AT12">_xlfn.IFS(AT9&gt;5,"HIGH RISK",AND(AT9&gt;=2,AT9&lt;=5),"MODERATE RISK",AT9&lt;2,"LOW RISK")</f>
        <v>MODERATE RISK</v>
      </c>
      <c r="AU12" s="23" t="str" cm="1">
        <f t="array" ref="AU12">_xlfn.IFS(AU9&gt;5,"HIGH RISK",AND(AU9&gt;=2,AU9&lt;=5),"MODERATE RISK",AU9&lt;2,"LOW RISK")</f>
        <v>LOW RISK</v>
      </c>
      <c r="AV12" s="23" t="str" cm="1">
        <f t="array" ref="AV12">_xlfn.IFS(AV9&gt;5,"HIGH RISK",AND(AV9&gt;=2,AV9&lt;=5),"MODERATE RISK",AV9&lt;2,"LOW RISK")</f>
        <v>MODERATE RISK</v>
      </c>
      <c r="AW12" s="23" t="str" cm="1">
        <f t="array" ref="AW12">_xlfn.IFS(AW9&gt;5,"HIGH RISK",AND(AW9&gt;=2,AW9&lt;=5),"MODERATE RISK",AW9&lt;2,"LOW RISK")</f>
        <v>MODERATE RISK</v>
      </c>
      <c r="AX12" s="23" t="str" cm="1">
        <f t="array" ref="AX12">_xlfn.IFS(AX9&gt;5,"HIGH RISK",AND(AX9&gt;=2,AX9&lt;=5),"MODERATE RISK",AX9&lt;2,"LOW RISK")</f>
        <v>LOW RISK</v>
      </c>
      <c r="AY12" s="23" t="str" cm="1">
        <f t="array" ref="AY12">_xlfn.IFS(AY9&gt;5,"HIGH RISK",AND(AY9&gt;=2,AY9&lt;=5),"MODERATE RISK",AY9&lt;2,"LOW RISK")</f>
        <v>LOW RISK</v>
      </c>
      <c r="AZ12" s="23" t="str" cm="1">
        <f t="array" ref="AZ12">_xlfn.IFS(AZ9&gt;5,"HIGH RISK",AND(AZ9&gt;=2,AZ9&lt;=5),"MODERATE RISK",AZ9&lt;2,"LOW RISK")</f>
        <v>LOW RISK</v>
      </c>
      <c r="BA12" s="23" t="str" cm="1">
        <f t="array" ref="BA12">_xlfn.IFS(BA9&gt;5,"HIGH RISK",AND(BA9&gt;=2,BA9&lt;=5),"MODERATE RISK",BA9&lt;2,"LOW RISK")</f>
        <v>HIGH RISK</v>
      </c>
      <c r="BB12" s="23" t="str" cm="1">
        <f t="array" ref="BB12">_xlfn.IFS(BB9&gt;5,"HIGH RISK",AND(BB9&gt;=2,BB9&lt;=5),"MODERATE RISK",BB9&lt;2,"LOW RISK")</f>
        <v>HIGH RISK</v>
      </c>
      <c r="BC12" s="23" t="str" cm="1">
        <f t="array" ref="BC12">_xlfn.IFS(BC9&gt;5,"HIGH RISK",AND(BC9&gt;=2,BC9&lt;=5),"MODERATE RISK",BC9&lt;2,"LOW RISK")</f>
        <v>MODERATE RISK</v>
      </c>
      <c r="BD12" s="23" t="str" cm="1">
        <f t="array" ref="BD12">_xlfn.IFS(BD9&gt;5,"HIGH RISK",AND(BD9&gt;=2,BD9&lt;=5),"MODERATE RISK",BD9&lt;2,"LOW RISK")</f>
        <v>LOW RISK</v>
      </c>
      <c r="BE12" s="23" t="str" cm="1">
        <f t="array" ref="BE12">_xlfn.IFS(BE9&gt;5,"HIGH RISK",AND(BE9&gt;=2,BE9&lt;=5),"MODERATE RISK",BE9&lt;2,"LOW RISK")</f>
        <v>LOW RISK</v>
      </c>
      <c r="BF12" s="23" t="str" cm="1">
        <f t="array" ref="BF12">_xlfn.IFS(BF9&gt;5,"HIGH RISK",AND(BF9&gt;=2,BF9&lt;=5),"MODERATE RISK",BF9&lt;2,"LOW RISK")</f>
        <v>MODERATE RISK</v>
      </c>
      <c r="BG12" s="23" t="str" cm="1">
        <f t="array" ref="BG12">_xlfn.IFS(BG9&gt;5,"HIGH RISK",AND(BG9&gt;=2,BG9&lt;=5),"MODERATE RISK",BG9&lt;2,"LOW RISK")</f>
        <v>LOW RISK</v>
      </c>
      <c r="BH12" s="23" t="str" cm="1">
        <f t="array" ref="BH12">_xlfn.IFS(BH9&gt;5,"HIGH RISK",AND(BH9&gt;=2,BH9&lt;=5),"MODERATE RISK",BH9&lt;2,"LOW RISK")</f>
        <v>LOW RISK</v>
      </c>
      <c r="BI12" s="23" t="str" cm="1">
        <f t="array" ref="BI12">_xlfn.IFS(BI9&gt;5,"HIGH RISK",AND(BI9&gt;=2,BI9&lt;=5),"MODERATE RISK",BI9&lt;2,"LOW RISK")</f>
        <v>LOW RISK</v>
      </c>
      <c r="BJ12" s="23" t="str" cm="1">
        <f t="array" ref="BJ12">_xlfn.IFS(BJ9&gt;5,"HIGH RISK",AND(BJ9&gt;=2,BJ9&lt;=5),"MODERATE RISK",BJ9&lt;2,"LOW RISK")</f>
        <v>MODERATE RISK</v>
      </c>
      <c r="BK12" s="23" t="str" cm="1">
        <f t="array" ref="BK12">_xlfn.IFS(BK9&gt;5,"HIGH RISK",AND(BK9&gt;=2,BK9&lt;=5),"MODERATE RISK",BK9&lt;2,"LOW RISK")</f>
        <v>HIGH RISK</v>
      </c>
      <c r="BL12" s="23" t="str" cm="1">
        <f t="array" ref="BL12">_xlfn.IFS(BL9&gt;5,"HIGH RISK",AND(BL9&gt;=2,BL9&lt;=5),"MODERATE RISK",BL9&lt;2,"LOW RISK")</f>
        <v>LOW RISK</v>
      </c>
      <c r="BM12" s="23" t="str" cm="1">
        <f t="array" ref="BM12">_xlfn.IFS(BM9&gt;5,"HIGH RISK",AND(BM9&gt;=2,BM9&lt;=5),"MODERATE RISK",BM9&lt;2,"LOW RISK")</f>
        <v>MODERATE RISK</v>
      </c>
      <c r="BN12" s="23" t="str" cm="1">
        <f t="array" ref="BN12">_xlfn.IFS(BN9&gt;5,"HIGH RISK",AND(BN9&gt;=2,BN9&lt;=5),"MODERATE RISK",BN9&lt;2,"LOW RISK")</f>
        <v>LOW RISK</v>
      </c>
      <c r="BO12" s="23" t="str" cm="1">
        <f t="array" ref="BO12">_xlfn.IFS(BO9&gt;5,"HIGH RISK",AND(BO9&gt;=2,BO9&lt;=5),"MODERATE RISK",BO9&lt;2,"LOW RISK")</f>
        <v>MODERATE RISK</v>
      </c>
      <c r="BP12" s="23" t="str" cm="1">
        <f t="array" ref="BP12">_xlfn.IFS(BP9&gt;5,"HIGH RISK",AND(BP9&gt;=2,BP9&lt;=5),"MODERATE RISK",BP9&lt;2,"LOW RISK")</f>
        <v>LOW RISK</v>
      </c>
      <c r="BQ12" s="23" t="str" cm="1">
        <f t="array" ref="BQ12">_xlfn.IFS(BQ9&gt;5,"HIGH RISK",AND(BQ9&gt;=2,BQ9&lt;=5),"MODERATE RISK",BQ9&lt;2,"LOW RISK")</f>
        <v>MODERATE RISK</v>
      </c>
      <c r="BR12" s="23" t="str" cm="1">
        <f t="array" ref="BR12">_xlfn.IFS(BR9&gt;5,"HIGH RISK",AND(BR9&gt;=2,BR9&lt;=5),"MODERATE RISK",BR9&lt;2,"LOW RISK")</f>
        <v>LOW RISK</v>
      </c>
      <c r="BS12" s="23" t="str" cm="1">
        <f t="array" ref="BS12">_xlfn.IFS(BS9&gt;5,"HIGH RISK",AND(BS9&gt;=2,BS9&lt;=5),"MODERATE RISK",BS9&lt;2,"LOW RISK")</f>
        <v>LOW RISK</v>
      </c>
      <c r="BT12" s="23" t="str" cm="1">
        <f t="array" ref="BT12">_xlfn.IFS(BT9&gt;5,"HIGH RISK",AND(BT9&gt;=2,BT9&lt;=5),"MODERATE RISK",BT9&lt;2,"LOW RISK")</f>
        <v>MODERATE RISK</v>
      </c>
      <c r="BU12" s="23" t="str" cm="1">
        <f t="array" ref="BU12">_xlfn.IFS(BU9&gt;5,"HIGH RISK",AND(BU9&gt;=2,BU9&lt;=5),"MODERATE RISK",BU9&lt;2,"LOW RISK")</f>
        <v>LOW RISK</v>
      </c>
      <c r="BV12" s="23" t="str" cm="1">
        <f t="array" ref="BV12">_xlfn.IFS(BV9&gt;5,"HIGH RISK",AND(BV9&gt;=2,BV9&lt;=5),"MODERATE RISK",BV9&lt;2,"LOW RISK")</f>
        <v>LOW RISK</v>
      </c>
      <c r="BW12" s="23" t="str" cm="1">
        <f t="array" ref="BW12">_xlfn.IFS(BW9&gt;5,"HIGH RISK",AND(BW9&gt;=2,BW9&lt;=5),"MODERATE RISK",BW9&lt;2,"LOW RISK")</f>
        <v>HIGH RISK</v>
      </c>
      <c r="BX12" s="23" t="str" cm="1">
        <f t="array" ref="BX12">_xlfn.IFS(BX9&gt;5,"HIGH RISK",AND(BX9&gt;=2,BX9&lt;=5),"MODERATE RISK",BX9&lt;2,"LOW RISK")</f>
        <v>MODERATE RISK</v>
      </c>
      <c r="BY12" s="23" t="str" cm="1">
        <f t="array" ref="BY12">_xlfn.IFS(BY9&gt;5,"HIGH RISK",AND(BY9&gt;=2,BY9&lt;=5),"MODERATE RISK",BY9&lt;2,"LOW RISK")</f>
        <v>LOW RISK</v>
      </c>
      <c r="BZ12" s="23" t="str" cm="1">
        <f t="array" ref="BZ12">_xlfn.IFS(BZ9&gt;5,"HIGH RISK",AND(BZ9&gt;=2,BZ9&lt;=5),"MODERATE RISK",BZ9&lt;2,"LOW RISK")</f>
        <v>MODERATE RISK</v>
      </c>
      <c r="CA12" s="23" t="str" cm="1">
        <f t="array" ref="CA12">_xlfn.IFS(CA9&gt;5,"HIGH RISK",AND(CA9&gt;=2,CA9&lt;=5),"MODERATE RISK",CA9&lt;2,"LOW RISK")</f>
        <v>HIGH RISK</v>
      </c>
      <c r="CB12" s="23" t="str" cm="1">
        <f t="array" ref="CB12">_xlfn.IFS(CB9&gt;5,"HIGH RISK",AND(CB9&gt;=2,CB9&lt;=5),"MODERATE RISK",CB9&lt;2,"LOW RISK")</f>
        <v>LOW RISK</v>
      </c>
      <c r="CC12" s="23" t="str" cm="1">
        <f t="array" ref="CC12">_xlfn.IFS(CC9&gt;5,"HIGH RISK",AND(CC9&gt;=2,CC9&lt;=5),"MODERATE RISK",CC9&lt;2,"LOW RISK")</f>
        <v>MODERATE RISK</v>
      </c>
      <c r="CD12" s="23" t="str" cm="1">
        <f t="array" ref="CD12">_xlfn.IFS(CD9&gt;5,"HIGH RISK",AND(CD9&gt;=2,CD9&lt;=5),"MODERATE RISK",CD9&lt;2,"LOW RISK")</f>
        <v>MODERATE RISK</v>
      </c>
      <c r="CE12" s="23" t="str" cm="1">
        <f t="array" ref="CE12">_xlfn.IFS(CE9&gt;5,"HIGH RISK",AND(CE9&gt;=2,CE9&lt;=5),"MODERATE RISK",CE9&lt;2,"LOW RISK")</f>
        <v>HIGH RISK</v>
      </c>
      <c r="CF12" s="23" t="str" cm="1">
        <f t="array" ref="CF12">_xlfn.IFS(CF9&gt;5,"HIGH RISK",AND(CF9&gt;=2,CF9&lt;=5),"MODERATE RISK",CF9&lt;2,"LOW RISK")</f>
        <v>MODERATE RISK</v>
      </c>
      <c r="CG12" s="23" t="str" cm="1">
        <f t="array" ref="CG12">_xlfn.IFS(CG9&gt;5,"HIGH RISK",AND(CG9&gt;=2,CG9&lt;=5),"MODERATE RISK",CG9&lt;2,"LOW RISK")</f>
        <v>HIGH RISK</v>
      </c>
      <c r="CH12" s="23" t="str" cm="1">
        <f t="array" ref="CH12">_xlfn.IFS(CH9&gt;5,"HIGH RISK",AND(CH9&gt;=2,CH9&lt;=5),"MODERATE RISK",CH9&lt;2,"LOW RISK")</f>
        <v>LOW RISK</v>
      </c>
      <c r="CI12" s="23" t="str" cm="1">
        <f t="array" ref="CI12">_xlfn.IFS(CI9&gt;5,"HIGH RISK",AND(CI9&gt;=2,CI9&lt;=5),"MODERATE RISK",CI9&lt;2,"LOW RISK")</f>
        <v>HIGH RISK</v>
      </c>
      <c r="CJ12" s="23" t="str" cm="1">
        <f t="array" ref="CJ12">_xlfn.IFS(CJ9&gt;5,"HIGH RISK",AND(CJ9&gt;=2,CJ9&lt;=5),"MODERATE RISK",CJ9&lt;2,"LOW RISK")</f>
        <v>LOW RISK</v>
      </c>
      <c r="CK12" s="23" t="str" cm="1">
        <f t="array" ref="CK12">_xlfn.IFS(CK9&gt;5,"HIGH RISK",AND(CK9&gt;=2,CK9&lt;=5),"MODERATE RISK",CK9&lt;2,"LOW RISK")</f>
        <v>MODERATE RISK</v>
      </c>
      <c r="CL12" s="23" t="str" cm="1">
        <f t="array" ref="CL12">_xlfn.IFS(CL9&gt;5,"HIGH RISK",AND(CL9&gt;=2,CL9&lt;=5),"MODERATE RISK",CL9&lt;2,"LOW RISK")</f>
        <v>LOW RISK</v>
      </c>
      <c r="CM12" s="23" t="str" cm="1">
        <f t="array" ref="CM12">_xlfn.IFS(CM9&gt;5,"HIGH RISK",AND(CM9&gt;=2,CM9&lt;=5),"MODERATE RISK",CM9&lt;2,"LOW RISK")</f>
        <v>LOW RISK</v>
      </c>
      <c r="CN12" s="23" t="str" cm="1">
        <f t="array" ref="CN12">_xlfn.IFS(CN9&gt;5,"HIGH RISK",AND(CN9&gt;=2,CN9&lt;=5),"MODERATE RISK",CN9&lt;2,"LOW RISK")</f>
        <v>LOW RISK</v>
      </c>
      <c r="CO12" s="23" t="str" cm="1">
        <f t="array" ref="CO12">_xlfn.IFS(CO9&gt;5,"HIGH RISK",AND(CO9&gt;=2,CO9&lt;=5),"MODERATE RISK",CO9&lt;2,"LOW RISK")</f>
        <v>MODERATE RISK</v>
      </c>
      <c r="CP12" s="23" t="str" cm="1">
        <f t="array" ref="CP12">_xlfn.IFS(CP9&gt;5,"HIGH RISK",AND(CP9&gt;=2,CP9&lt;=5),"MODERATE RISK",CP9&lt;2,"LOW RISK")</f>
        <v>LOW RISK</v>
      </c>
      <c r="CQ12" s="23" t="str" cm="1">
        <f t="array" ref="CQ12">_xlfn.IFS(CQ9&gt;5,"HIGH RISK",AND(CQ9&gt;=2,CQ9&lt;=5),"MODERATE RISK",CQ9&lt;2,"LOW RISK")</f>
        <v>MODERATE RISK</v>
      </c>
      <c r="CR12" s="23" t="str" cm="1">
        <f t="array" ref="CR12">_xlfn.IFS(CR9&gt;5,"HIGH RISK",AND(CR9&gt;=2,CR9&lt;=5),"MODERATE RISK",CR9&lt;2,"LOW RISK")</f>
        <v>LOW RISK</v>
      </c>
      <c r="CS12" s="23" t="str" cm="1">
        <f t="array" ref="CS12">_xlfn.IFS(CS9&gt;5,"HIGH RISK",AND(CS9&gt;=2,CS9&lt;=5),"MODERATE RISK",CS9&lt;2,"LOW RISK")</f>
        <v>MODERATE RISK</v>
      </c>
      <c r="CT12" s="23" t="str" cm="1">
        <f t="array" ref="CT12">_xlfn.IFS(CT9&gt;5,"HIGH RISK",AND(CT9&gt;=2,CT9&lt;=5),"MODERATE RISK",CT9&lt;2,"LOW RISK")</f>
        <v>LOW RISK</v>
      </c>
      <c r="CU12" s="23" t="str" cm="1">
        <f t="array" ref="CU12">_xlfn.IFS(CU9&gt;5,"HIGH RISK",AND(CU9&gt;=2,CU9&lt;=5),"MODERATE RISK",CU9&lt;2,"LOW RISK")</f>
        <v>MODERATE RISK</v>
      </c>
      <c r="CV12" s="23" t="str" cm="1">
        <f t="array" ref="CV12">_xlfn.IFS(CV9&gt;5,"HIGH RISK",AND(CV9&gt;=2,CV9&lt;=5),"MODERATE RISK",CV9&lt;2,"LOW RISK")</f>
        <v>HIGH RISK</v>
      </c>
      <c r="CW12" s="23" t="str" cm="1">
        <f t="array" ref="CW12">_xlfn.IFS(CW9&gt;5,"HIGH RISK",AND(CW9&gt;=2,CW9&lt;=5),"MODERATE RISK",CW9&lt;2,"LOW RISK")</f>
        <v>MODERATE RISK</v>
      </c>
      <c r="CX12" s="23" t="str" cm="1">
        <f t="array" ref="CX12">_xlfn.IFS(CX9&gt;5,"HIGH RISK",AND(CX9&gt;=2,CX9&lt;=5),"MODERATE RISK",CX9&lt;2,"LOW RISK")</f>
        <v>LOW RISK</v>
      </c>
      <c r="CY12" s="23" t="str" cm="1">
        <f t="array" ref="CY12">_xlfn.IFS(CY9&gt;5,"HIGH RISK",AND(CY9&gt;=2,CY9&lt;=5),"MODERATE RISK",CY9&lt;2,"LOW RISK")</f>
        <v>MODERATE RISK</v>
      </c>
      <c r="CZ12" s="23" t="str" cm="1">
        <f t="array" ref="CZ12">_xlfn.IFS(CZ9&gt;5,"HIGH RISK",AND(CZ9&gt;=2,CZ9&lt;=5),"MODERATE RISK",CZ9&lt;2,"LOW RISK")</f>
        <v>LOW RISK</v>
      </c>
      <c r="DA12" s="23" t="str" cm="1">
        <f t="array" ref="DA12">_xlfn.IFS(DA9&gt;5,"HIGH RISK",AND(DA9&gt;=2,DA9&lt;=5),"MODERATE RISK",DA9&lt;2,"LOW RISK")</f>
        <v>LOW RISK</v>
      </c>
      <c r="DB12" s="23" t="str" cm="1">
        <f t="array" ref="DB12">_xlfn.IFS(DB9&gt;5,"HIGH RISK",AND(DB9&gt;=2,DB9&lt;=5),"MODERATE RISK",DB9&lt;2,"LOW RISK")</f>
        <v>MODERATE RISK</v>
      </c>
      <c r="DC12" s="23" t="str" cm="1">
        <f t="array" ref="DC12">_xlfn.IFS(DC9&gt;5,"HIGH RISK",AND(DC9&gt;=2,DC9&lt;=5),"MODERATE RISK",DC9&lt;2,"LOW RISK")</f>
        <v>LOW RISK</v>
      </c>
      <c r="DD12" s="23" t="str" cm="1">
        <f t="array" ref="DD12">_xlfn.IFS(DD9&gt;5,"HIGH RISK",AND(DD9&gt;=2,DD9&lt;=5),"MODERATE RISK",DD9&lt;2,"LOW RISK")</f>
        <v>LOW RISK</v>
      </c>
      <c r="DE12" s="23" t="str" cm="1">
        <f t="array" ref="DE12">_xlfn.IFS(DE9&gt;5,"HIGH RISK",AND(DE9&gt;=2,DE9&lt;=5),"MODERATE RISK",DE9&lt;2,"LOW RISK")</f>
        <v>MODERATE RISK</v>
      </c>
      <c r="DF12" s="23" t="str" cm="1">
        <f t="array" ref="DF12">_xlfn.IFS(DF9&gt;5,"HIGH RISK",AND(DF9&gt;=2,DF9&lt;=5),"MODERATE RISK",DF9&lt;2,"LOW RISK")</f>
        <v>LOW RISK</v>
      </c>
      <c r="DG12" s="23" t="str" cm="1">
        <f t="array" ref="DG12">_xlfn.IFS(DG9&gt;5,"HIGH RISK",AND(DG9&gt;=2,DG9&lt;=5),"MODERATE RISK",DG9&lt;2,"LOW RISK")</f>
        <v>MODERATE RISK</v>
      </c>
      <c r="DH12" s="23" t="str" cm="1">
        <f t="array" ref="DH12">_xlfn.IFS(DH9&gt;5,"HIGH RISK",AND(DH9&gt;=2,DH9&lt;=5),"MODERATE RISK",DH9&lt;2,"LOW RISK")</f>
        <v>MODERATE RISK</v>
      </c>
      <c r="DI12" s="23" t="str" cm="1">
        <f t="array" ref="DI12">_xlfn.IFS(DI9&gt;5,"HIGH RISK",AND(DI9&gt;=2,DI9&lt;=5),"MODERATE RISK",DI9&lt;2,"LOW RISK")</f>
        <v>HIGH RISK</v>
      </c>
      <c r="DJ12" s="23" t="str" cm="1">
        <f t="array" ref="DJ12">_xlfn.IFS(DJ9&gt;5,"HIGH RISK",AND(DJ9&gt;=2,DJ9&lt;=5),"MODERATE RISK",DJ9&lt;2,"LOW RISK")</f>
        <v>MODERATE RISK</v>
      </c>
      <c r="DK12" s="23" t="str" cm="1">
        <f t="array" ref="DK12">_xlfn.IFS(DK9&gt;5,"HIGH RISK",AND(DK9&gt;=2,DK9&lt;=5),"MODERATE RISK",DK9&lt;2,"LOW RISK")</f>
        <v>MODERATE RISK</v>
      </c>
      <c r="DL12" s="23" t="str" cm="1">
        <f t="array" ref="DL12">_xlfn.IFS(DL9&gt;5,"HIGH RISK",AND(DL9&gt;=2,DL9&lt;=5),"MODERATE RISK",DL9&lt;2,"LOW RISK")</f>
        <v>LOW RISK</v>
      </c>
      <c r="DM12" s="23" t="str" cm="1">
        <f t="array" ref="DM12">_xlfn.IFS(DM9&gt;5,"HIGH RISK",AND(DM9&gt;=2,DM9&lt;=5),"MODERATE RISK",DM9&lt;2,"LOW RISK")</f>
        <v>LOW RISK</v>
      </c>
      <c r="DN12" s="23" t="str" cm="1">
        <f t="array" ref="DN12">_xlfn.IFS(DN9&gt;5,"HIGH RISK",AND(DN9&gt;=2,DN9&lt;=5),"MODERATE RISK",DN9&lt;2,"LOW RISK")</f>
        <v>LOW RISK</v>
      </c>
      <c r="DO12" s="23" t="str" cm="1">
        <f t="array" ref="DO12">_xlfn.IFS(DO9&gt;5,"HIGH RISK",AND(DO9&gt;=2,DO9&lt;=5),"MODERATE RISK",DO9&lt;2,"LOW RISK")</f>
        <v>LOW RISK</v>
      </c>
      <c r="DP12" s="23" t="str" cm="1">
        <f t="array" ref="DP12">_xlfn.IFS(DP9&gt;5,"HIGH RISK",AND(DP9&gt;=2,DP9&lt;=5),"MODERATE RISK",DP9&lt;2,"LOW RISK")</f>
        <v>LOW RISK</v>
      </c>
      <c r="DQ12" s="23" t="str" cm="1">
        <f t="array" ref="DQ12">_xlfn.IFS(DQ9&gt;5,"HIGH RISK",AND(DQ9&gt;=2,DQ9&lt;=5),"MODERATE RISK",DQ9&lt;2,"LOW RISK")</f>
        <v>LOW RISK</v>
      </c>
      <c r="DR12" s="23" t="str" cm="1">
        <f t="array" ref="DR12">_xlfn.IFS(DR9&gt;5,"HIGH RISK",AND(DR9&gt;=2,DR9&lt;=5),"MODERATE RISK",DR9&lt;2,"LOW RISK")</f>
        <v>HIGH RISK</v>
      </c>
      <c r="DS12" s="23" t="str" cm="1">
        <f t="array" ref="DS12">_xlfn.IFS(DS9&gt;5,"HIGH RISK",AND(DS9&gt;=2,DS9&lt;=5),"MODERATE RISK",DS9&lt;2,"LOW RISK")</f>
        <v>LOW RISK</v>
      </c>
      <c r="DT12" s="23" t="str" cm="1">
        <f t="array" ref="DT12">_xlfn.IFS(DT9&gt;5,"HIGH RISK",AND(DT9&gt;=2,DT9&lt;=5),"MODERATE RISK",DT9&lt;2,"LOW RISK")</f>
        <v>MODERATE RISK</v>
      </c>
      <c r="DU12" s="23" t="str" cm="1">
        <f t="array" ref="DU12">_xlfn.IFS(DU9&gt;5,"HIGH RISK",AND(DU9&gt;=2,DU9&lt;=5),"MODERATE RISK",DU9&lt;2,"LOW RISK")</f>
        <v>HIGH RISK</v>
      </c>
      <c r="DV12" s="23" t="str" cm="1">
        <f t="array" ref="DV12">_xlfn.IFS(DV9&gt;5,"HIGH RISK",AND(DV9&gt;=2,DV9&lt;=5),"MODERATE RISK",DV9&lt;2,"LOW RISK")</f>
        <v>MODERATE RISK</v>
      </c>
      <c r="DW12" s="23" t="str" cm="1">
        <f t="array" ref="DW12">_xlfn.IFS(DW9&gt;5,"HIGH RISK",AND(DW9&gt;=2,DW9&lt;=5),"MODERATE RISK",DW9&lt;2,"LOW RISK")</f>
        <v>MODERATE RISK</v>
      </c>
      <c r="DX12" s="23" t="str" cm="1">
        <f t="array" ref="DX12">_xlfn.IFS(DX9&gt;5,"HIGH RISK",AND(DX9&gt;=2,DX9&lt;=5),"MODERATE RISK",DX9&lt;2,"LOW RISK")</f>
        <v>MODERATE RISK</v>
      </c>
      <c r="DY12" s="23" t="str" cm="1">
        <f t="array" ref="DY12">_xlfn.IFS(DY9&gt;5,"HIGH RISK",AND(DY9&gt;=2,DY9&lt;=5),"MODERATE RISK",DY9&lt;2,"LOW RISK")</f>
        <v>LOW RISK</v>
      </c>
      <c r="DZ12" s="23" t="str" cm="1">
        <f t="array" ref="DZ12">_xlfn.IFS(DZ9&gt;5,"HIGH RISK",AND(DZ9&gt;=2,DZ9&lt;=5),"MODERATE RISK",DZ9&lt;2,"LOW RISK")</f>
        <v>MODERATE RISK</v>
      </c>
      <c r="EA12" s="23" t="str" cm="1">
        <f t="array" ref="EA12">_xlfn.IFS(EA9&gt;5,"HIGH RISK",AND(EA9&gt;=2,EA9&lt;=5),"MODERATE RISK",EA9&lt;2,"LOW RISK")</f>
        <v>MODERATE RISK</v>
      </c>
      <c r="EB12" s="23" t="str" cm="1">
        <f t="array" ref="EB12">_xlfn.IFS(EB9&gt;5,"HIGH RISK",AND(EB9&gt;=2,EB9&lt;=5),"MODERATE RISK",EB9&lt;2,"LOW RISK")</f>
        <v>LOW RISK</v>
      </c>
      <c r="EC12" s="23" t="str" cm="1">
        <f t="array" ref="EC12">_xlfn.IFS(EC9&gt;5,"HIGH RISK",AND(EC9&gt;=2,EC9&lt;=5),"MODERATE RISK",EC9&lt;2,"LOW RISK")</f>
        <v>LOW RISK</v>
      </c>
      <c r="ED12" s="23" t="str" cm="1">
        <f t="array" ref="ED12">_xlfn.IFS(ED9&gt;5,"HIGH RISK",AND(ED9&gt;=2,ED9&lt;=5),"MODERATE RISK",ED9&lt;2,"LOW RISK")</f>
        <v>MODERATE RISK</v>
      </c>
      <c r="EE12" s="23" t="str" cm="1">
        <f t="array" ref="EE12">_xlfn.IFS(EE9&gt;5,"HIGH RISK",AND(EE9&gt;=2,EE9&lt;=5),"MODERATE RISK",EE9&lt;2,"LOW RISK")</f>
        <v>MODERATE RISK</v>
      </c>
      <c r="EF12" s="23" t="str" cm="1">
        <f t="array" ref="EF12">_xlfn.IFS(EF9&gt;5,"HIGH RISK",AND(EF9&gt;=2,EF9&lt;=5),"MODERATE RISK",EF9&lt;2,"LOW RISK")</f>
        <v>MODERATE RISK</v>
      </c>
      <c r="EG12" s="23" t="str" cm="1">
        <f t="array" ref="EG12">_xlfn.IFS(EG9&gt;5,"HIGH RISK",AND(EG9&gt;=2,EG9&lt;=5),"MODERATE RISK",EG9&lt;2,"LOW RISK")</f>
        <v>MODERATE RISK</v>
      </c>
      <c r="EH12" s="23" t="str" cm="1">
        <f t="array" ref="EH12">_xlfn.IFS(EH9&gt;5,"HIGH RISK",AND(EH9&gt;=2,EH9&lt;=5),"MODERATE RISK",EH9&lt;2,"LOW RISK")</f>
        <v>LOW RISK</v>
      </c>
      <c r="EI12" s="23" t="str" cm="1">
        <f t="array" ref="EI12">_xlfn.IFS(EI9&gt;5,"HIGH RISK",AND(EI9&gt;=2,EI9&lt;=5),"MODERATE RISK",EI9&lt;2,"LOW RISK")</f>
        <v>MODERATE RISK</v>
      </c>
      <c r="EJ12" s="23" t="str" cm="1">
        <f t="array" ref="EJ12">_xlfn.IFS(EJ9&gt;5,"HIGH RISK",AND(EJ9&gt;=2,EJ9&lt;=5),"MODERATE RISK",EJ9&lt;2,"LOW RISK")</f>
        <v>LOW RISK</v>
      </c>
      <c r="EK12" s="23" t="str" cm="1">
        <f t="array" ref="EK12">_xlfn.IFS(EK9&gt;5,"HIGH RISK",AND(EK9&gt;=2,EK9&lt;=5),"MODERATE RISK",EK9&lt;2,"LOW RISK")</f>
        <v>LOW RISK</v>
      </c>
      <c r="EL12" s="23" t="str" cm="1">
        <f t="array" ref="EL12">_xlfn.IFS(EL9&gt;5,"HIGH RISK",AND(EL9&gt;=2,EL9&lt;=5),"MODERATE RISK",EL9&lt;2,"LOW RISK")</f>
        <v>LOW RISK</v>
      </c>
      <c r="EM12" s="23" t="str" cm="1">
        <f t="array" ref="EM12">_xlfn.IFS(EM9&gt;5,"HIGH RISK",AND(EM9&gt;=2,EM9&lt;=5),"MODERATE RISK",EM9&lt;2,"LOW RISK")</f>
        <v>LOW RISK</v>
      </c>
      <c r="EN12" s="23" t="str" cm="1">
        <f t="array" ref="EN12">_xlfn.IFS(EN9&gt;5,"HIGH RISK",AND(EN9&gt;=2,EN9&lt;=5),"MODERATE RISK",EN9&lt;2,"LOW RISK")</f>
        <v>LOW RISK</v>
      </c>
      <c r="EO12" s="23" t="str" cm="1">
        <f t="array" ref="EO12">_xlfn.IFS(EO9&gt;5,"HIGH RISK",AND(EO9&gt;=2,EO9&lt;=5),"MODERATE RISK",EO9&lt;2,"LOW RISK")</f>
        <v>HIGH RISK</v>
      </c>
      <c r="EP12" s="23" t="str" cm="1">
        <f t="array" ref="EP12">_xlfn.IFS(EP9&gt;5,"HIGH RISK",AND(EP9&gt;=2,EP9&lt;=5),"MODERATE RISK",EP9&lt;2,"LOW RISK")</f>
        <v>LOW RISK</v>
      </c>
      <c r="EQ12" s="23" t="str" cm="1">
        <f t="array" ref="EQ12">_xlfn.IFS(EQ9&gt;5,"HIGH RISK",AND(EQ9&gt;=2,EQ9&lt;=5),"MODERATE RISK",EQ9&lt;2,"LOW RISK")</f>
        <v>LOW RISK</v>
      </c>
      <c r="ER12" s="23" t="str" cm="1">
        <f t="array" ref="ER12">_xlfn.IFS(ER9&gt;5,"HIGH RISK",AND(ER9&gt;=2,ER9&lt;=5),"MODERATE RISK",ER9&lt;2,"LOW RISK")</f>
        <v>LOW RISK</v>
      </c>
      <c r="ES12" s="23" t="str" cm="1">
        <f t="array" ref="ES12">_xlfn.IFS(ES9&gt;5,"HIGH RISK",AND(ES9&gt;=2,ES9&lt;=5),"MODERATE RISK",ES9&lt;2,"LOW RISK")</f>
        <v>MODERATE RISK</v>
      </c>
      <c r="ET12" s="23" t="str" cm="1">
        <f t="array" ref="ET12">_xlfn.IFS(ET9&gt;5,"HIGH RISK",AND(ET9&gt;=2,ET9&lt;=5),"MODERATE RISK",ET9&lt;2,"LOW RISK")</f>
        <v>LOW RISK</v>
      </c>
      <c r="EU12" s="23" t="str" cm="1">
        <f t="array" ref="EU12">_xlfn.IFS(EU9&gt;5,"HIGH RISK",AND(EU9&gt;=2,EU9&lt;=5),"MODERATE RISK",EU9&lt;2,"LOW RISK")</f>
        <v>MODERATE RISK</v>
      </c>
      <c r="EV12" s="23" t="str" cm="1">
        <f t="array" ref="EV12">_xlfn.IFS(EV9&gt;5,"HIGH RISK",AND(EV9&gt;=2,EV9&lt;=5),"MODERATE RISK",EV9&lt;2,"LOW RISK")</f>
        <v>LOW RISK</v>
      </c>
      <c r="EW12" s="23" t="str" cm="1">
        <f t="array" ref="EW12">_xlfn.IFS(EW9&gt;5,"HIGH RISK",AND(EW9&gt;=2,EW9&lt;=5),"MODERATE RISK",EW9&lt;2,"LOW RISK")</f>
        <v>LOW RISK</v>
      </c>
      <c r="EX12" s="23" t="str" cm="1">
        <f t="array" ref="EX12">_xlfn.IFS(EX9&gt;5,"HIGH RISK",AND(EX9&gt;=2,EX9&lt;=5),"MODERATE RISK",EX9&lt;2,"LOW RISK")</f>
        <v>HIGH RISK</v>
      </c>
      <c r="EY12" s="23" t="str" cm="1">
        <f t="array" ref="EY12">_xlfn.IFS(EY9&gt;5,"HIGH RISK",AND(EY9&gt;=2,EY9&lt;=5),"MODERATE RISK",EY9&lt;2,"LOW RISK")</f>
        <v>MODERATE RISK</v>
      </c>
      <c r="EZ12" s="23" t="str" cm="1">
        <f t="array" ref="EZ12">_xlfn.IFS(EZ9&gt;5,"HIGH RISK",AND(EZ9&gt;=2,EZ9&lt;=5),"MODERATE RISK",EZ9&lt;2,"LOW RISK")</f>
        <v>LOW RISK</v>
      </c>
      <c r="FA12" s="23" t="str" cm="1">
        <f t="array" ref="FA12">_xlfn.IFS(FA9&gt;5,"HIGH RISK",AND(FA9&gt;=2,FA9&lt;=5),"MODERATE RISK",FA9&lt;2,"LOW RISK")</f>
        <v>MODERATE RISK</v>
      </c>
      <c r="FB12" s="23" t="str" cm="1">
        <f t="array" ref="FB12">_xlfn.IFS(FB9&gt;5,"HIGH RISK",AND(FB9&gt;=2,FB9&lt;=5),"MODERATE RISK",FB9&lt;2,"LOW RISK")</f>
        <v>LOW RISK</v>
      </c>
      <c r="FC12" s="23" t="str" cm="1">
        <f t="array" ref="FC12">_xlfn.IFS(FC9&gt;5,"HIGH RISK",AND(FC9&gt;=2,FC9&lt;=5),"MODERATE RISK",FC9&lt;2,"LOW RISK")</f>
        <v>HIGH RISK</v>
      </c>
      <c r="FD12" s="23" t="str" cm="1">
        <f t="array" ref="FD12">_xlfn.IFS(FD9&gt;5,"HIGH RISK",AND(FD9&gt;=2,FD9&lt;=5),"MODERATE RISK",FD9&lt;2,"LOW RISK")</f>
        <v>LOW RISK</v>
      </c>
      <c r="FE12" s="23" t="str" cm="1">
        <f t="array" ref="FE12">_xlfn.IFS(FE9&gt;5,"HIGH RISK",AND(FE9&gt;=2,FE9&lt;=5),"MODERATE RISK",FE9&lt;2,"LOW RISK")</f>
        <v>HIGH RISK</v>
      </c>
      <c r="FF12" s="23" t="str" cm="1">
        <f t="array" ref="FF12">_xlfn.IFS(FF9&gt;5,"HIGH RISK",AND(FF9&gt;=2,FF9&lt;=5),"MODERATE RISK",FF9&lt;2,"LOW RISK")</f>
        <v>LOW RISK</v>
      </c>
      <c r="FG12" s="23" t="str" cm="1">
        <f t="array" ref="FG12">_xlfn.IFS(FG9&gt;5,"HIGH RISK",AND(FG9&gt;=2,FG9&lt;=5),"MODERATE RISK",FG9&lt;2,"LOW RISK")</f>
        <v>HIGH RISK</v>
      </c>
      <c r="FH12" s="23" t="str" cm="1">
        <f t="array" ref="FH12">_xlfn.IFS(FH9&gt;5,"HIGH RISK",AND(FH9&gt;=2,FH9&lt;=5),"MODERATE RISK",FH9&lt;2,"LOW RISK")</f>
        <v>HIGH RISK</v>
      </c>
      <c r="FI12" s="23" t="str" cm="1">
        <f t="array" ref="FI12">_xlfn.IFS(FI9&gt;5,"HIGH RISK",AND(FI9&gt;=2,FI9&lt;=5),"MODERATE RISK",FI9&lt;2,"LOW RISK")</f>
        <v>HIGH RISK</v>
      </c>
      <c r="FJ12" s="23" t="str" cm="1">
        <f t="array" ref="FJ12">_xlfn.IFS(FJ9&gt;5,"HIGH RISK",AND(FJ9&gt;=2,FJ9&lt;=5),"MODERATE RISK",FJ9&lt;2,"LOW RISK")</f>
        <v>LOW RISK</v>
      </c>
      <c r="FK12" s="23" t="str" cm="1">
        <f t="array" ref="FK12">_xlfn.IFS(FK9&gt;5,"HIGH RISK",AND(FK9&gt;=2,FK9&lt;=5),"MODERATE RISK",FK9&lt;2,"LOW RISK")</f>
        <v>LOW RISK</v>
      </c>
      <c r="FL12" s="23" t="str" cm="1">
        <f t="array" ref="FL12">_xlfn.IFS(FL9&gt;5,"HIGH RISK",AND(FL9&gt;=2,FL9&lt;=5),"MODERATE RISK",FL9&lt;2,"LOW RISK")</f>
        <v>MODERATE RISK</v>
      </c>
      <c r="FM12" s="23" t="str" cm="1">
        <f t="array" ref="FM12">_xlfn.IFS(FM9&gt;5,"HIGH RISK",AND(FM9&gt;=2,FM9&lt;=5),"MODERATE RISK",FM9&lt;2,"LOW RISK")</f>
        <v>LOW RISK</v>
      </c>
      <c r="FN12" s="23" t="str" cm="1">
        <f t="array" ref="FN12">_xlfn.IFS(FN9&gt;5,"HIGH RISK",AND(FN9&gt;=2,FN9&lt;=5),"MODERATE RISK",FN9&lt;2,"LOW RISK")</f>
        <v>LOW RISK</v>
      </c>
      <c r="FO12" s="23" t="str" cm="1">
        <f t="array" ref="FO12">_xlfn.IFS(FO9&gt;5,"HIGH RISK",AND(FO9&gt;=2,FO9&lt;=5),"MODERATE RISK",FO9&lt;2,"LOW RISK")</f>
        <v>MODERATE RISK</v>
      </c>
      <c r="FP12" s="23" t="str" cm="1">
        <f t="array" ref="FP12">_xlfn.IFS(FP9&gt;5,"HIGH RISK",AND(FP9&gt;=2,FP9&lt;=5),"MODERATE RISK",FP9&lt;2,"LOW RISK")</f>
        <v>HIGH RISK</v>
      </c>
      <c r="FQ12" s="23" t="str" cm="1">
        <f t="array" ref="FQ12">_xlfn.IFS(FQ9&gt;5,"HIGH RISK",AND(FQ9&gt;=2,FQ9&lt;=5),"MODERATE RISK",FQ9&lt;2,"LOW RISK")</f>
        <v>MODERATE RISK</v>
      </c>
      <c r="FR12" s="23" t="str" cm="1">
        <f t="array" ref="FR12">_xlfn.IFS(FR9&gt;5,"HIGH RISK",AND(FR9&gt;=2,FR9&lt;=5),"MODERATE RISK",FR9&lt;2,"LOW RISK")</f>
        <v>MODERATE RISK</v>
      </c>
      <c r="FS12" s="23" t="str" cm="1">
        <f t="array" ref="FS12">_xlfn.IFS(FS9&gt;5,"HIGH RISK",AND(FS9&gt;=2,FS9&lt;=5),"MODERATE RISK",FS9&lt;2,"LOW RISK")</f>
        <v>MODERATE RISK</v>
      </c>
      <c r="FT12" s="23" t="str" cm="1">
        <f t="array" ref="FT12">_xlfn.IFS(FT9&gt;5,"HIGH RISK",AND(FT9&gt;=2,FT9&lt;=5),"MODERATE RISK",FT9&lt;2,"LOW RISK")</f>
        <v>LOW RISK</v>
      </c>
      <c r="FU12" s="23" t="str" cm="1">
        <f t="array" ref="FU12">_xlfn.IFS(FU9&gt;5,"HIGH RISK",AND(FU9&gt;=2,FU9&lt;=5),"MODERATE RISK",FU9&lt;2,"LOW RISK")</f>
        <v>MODERATE RISK</v>
      </c>
      <c r="FV12" s="23" t="str" cm="1">
        <f t="array" ref="FV12">_xlfn.IFS(FV9&gt;5,"HIGH RISK",AND(FV9&gt;=2,FV9&lt;=5),"MODERATE RISK",FV9&lt;2,"LOW RISK")</f>
        <v>LOW RISK</v>
      </c>
      <c r="FW12" s="23" t="str" cm="1">
        <f t="array" ref="FW12">_xlfn.IFS(FW9&gt;5,"HIGH RISK",AND(FW9&gt;=2,FW9&lt;=5),"MODERATE RISK",FW9&lt;2,"LOW RISK")</f>
        <v>HIGH RISK</v>
      </c>
      <c r="FX12" s="23" t="str" cm="1">
        <f t="array" ref="FX12">_xlfn.IFS(FX9&gt;5,"HIGH RISK",AND(FX9&gt;=2,FX9&lt;=5),"MODERATE RISK",FX9&lt;2,"LOW RISK")</f>
        <v>MODERATE RISK</v>
      </c>
      <c r="FY12" s="23" t="str" cm="1">
        <f t="array" ref="FY12">_xlfn.IFS(FY9&gt;5,"HIGH RISK",AND(FY9&gt;=2,FY9&lt;=5),"MODERATE RISK",FY9&lt;2,"LOW RISK")</f>
        <v>LOW RISK</v>
      </c>
      <c r="FZ12" s="23" t="str" cm="1">
        <f t="array" ref="FZ12">_xlfn.IFS(FZ9&gt;5,"HIGH RISK",AND(FZ9&gt;=2,FZ9&lt;=5),"MODERATE RISK",FZ9&lt;2,"LOW RISK")</f>
        <v>LOW RISK</v>
      </c>
      <c r="GA12" s="23" t="str" cm="1">
        <f t="array" ref="GA12">_xlfn.IFS(GA9&gt;5,"HIGH RISK",AND(GA9&gt;=2,GA9&lt;=5),"MODERATE RISK",GA9&lt;2,"LOW RISK")</f>
        <v>LOW RISK</v>
      </c>
      <c r="GB12" s="23" t="str" cm="1">
        <f t="array" ref="GB12">_xlfn.IFS(GB9&gt;5,"HIGH RISK",AND(GB9&gt;=2,GB9&lt;=5),"MODERATE RISK",GB9&lt;2,"LOW RISK")</f>
        <v>LOW RISK</v>
      </c>
      <c r="GC12" s="23" t="str" cm="1">
        <f t="array" ref="GC12">_xlfn.IFS(GC9&gt;5,"HIGH RISK",AND(GC9&gt;=2,GC9&lt;=5),"MODERATE RISK",GC9&lt;2,"LOW RISK")</f>
        <v>HIGH RISK</v>
      </c>
      <c r="GD12" s="23" t="str" cm="1">
        <f t="array" ref="GD12">_xlfn.IFS(GD9&gt;5,"HIGH RISK",AND(GD9&gt;=2,GD9&lt;=5),"MODERATE RISK",GD9&lt;2,"LOW RISK")</f>
        <v>HIGH RISK</v>
      </c>
      <c r="GE12" s="23" t="str" cm="1">
        <f t="array" ref="GE12">_xlfn.IFS(GE9&gt;5,"HIGH RISK",AND(GE9&gt;=2,GE9&lt;=5),"MODERATE RISK",GE9&lt;2,"LOW RISK")</f>
        <v>MODERATE RISK</v>
      </c>
      <c r="GF12" s="23" t="str" cm="1">
        <f t="array" ref="GF12">_xlfn.IFS(GF9&gt;5,"HIGH RISK",AND(GF9&gt;=2,GF9&lt;=5),"MODERATE RISK",GF9&lt;2,"LOW RISK")</f>
        <v>LOW RISK</v>
      </c>
    </row>
    <row r="13" spans="1:188" x14ac:dyDescent="0.35">
      <c r="A13" s="24" t="s">
        <v>209</v>
      </c>
      <c r="B13" cm="1">
        <f t="array" ref="B13">_xlfn.IFS(B12="LOW RISK",1,B12="MODERATE RISK",2,B12="HIGH RISK",3)</f>
        <v>2</v>
      </c>
      <c r="C13" cm="1">
        <f t="array" ref="C13">_xlfn.IFS(C12="LOW RISK",1,C12="MODERATE RISK",2,C12="HIGH RISK",3)</f>
        <v>2</v>
      </c>
      <c r="D13" cm="1">
        <f t="array" ref="D13">_xlfn.IFS(D12="LOW RISK",1,D12="MODERATE RISK",2,D12="HIGH RISK",3)</f>
        <v>2</v>
      </c>
      <c r="E13" cm="1">
        <f t="array" ref="E13">_xlfn.IFS(E12="LOW RISK",1,E12="MODERATE RISK",2,E12="HIGH RISK",3)</f>
        <v>3</v>
      </c>
      <c r="F13" cm="1">
        <f t="array" ref="F13">_xlfn.IFS(F12="LOW RISK",1,F12="MODERATE RISK",2,F12="HIGH RISK",3)</f>
        <v>2</v>
      </c>
      <c r="G13" cm="1">
        <f t="array" ref="G13">_xlfn.IFS(G12="LOW RISK",1,G12="MODERATE RISK",2,G12="HIGH RISK",3)</f>
        <v>2</v>
      </c>
      <c r="H13" cm="1">
        <f t="array" ref="H13">_xlfn.IFS(H12="LOW RISK",1,H12="MODERATE RISK",2,H12="HIGH RISK",3)</f>
        <v>1</v>
      </c>
      <c r="I13" cm="1">
        <f t="array" ref="I13">_xlfn.IFS(I12="LOW RISK",1,I12="MODERATE RISK",2,I12="HIGH RISK",3)</f>
        <v>1</v>
      </c>
      <c r="J13" cm="1">
        <f t="array" ref="J13">_xlfn.IFS(J12="LOW RISK",1,J12="MODERATE RISK",2,J12="HIGH RISK",3)</f>
        <v>1</v>
      </c>
      <c r="K13" cm="1">
        <f t="array" ref="K13">_xlfn.IFS(K12="LOW RISK",1,K12="MODERATE RISK",2,K12="HIGH RISK",3)</f>
        <v>2</v>
      </c>
      <c r="L13" cm="1">
        <f t="array" ref="L13">_xlfn.IFS(L12="LOW RISK",1,L12="MODERATE RISK",2,L12="HIGH RISK",3)</f>
        <v>1</v>
      </c>
      <c r="M13" cm="1">
        <f t="array" ref="M13">_xlfn.IFS(M12="LOW RISK",1,M12="MODERATE RISK",2,M12="HIGH RISK",3)</f>
        <v>2</v>
      </c>
      <c r="N13" cm="1">
        <f t="array" ref="N13">_xlfn.IFS(N12="LOW RISK",1,N12="MODERATE RISK",2,N12="HIGH RISK",3)</f>
        <v>1</v>
      </c>
      <c r="O13" cm="1">
        <f t="array" ref="O13">_xlfn.IFS(O12="LOW RISK",1,O12="MODERATE RISK",2,O12="HIGH RISK",3)</f>
        <v>1</v>
      </c>
      <c r="P13" cm="1">
        <f t="array" ref="P13">_xlfn.IFS(P12="LOW RISK",1,P12="MODERATE RISK",2,P12="HIGH RISK",3)</f>
        <v>3</v>
      </c>
      <c r="Q13" cm="1">
        <f t="array" ref="Q13">_xlfn.IFS(Q12="LOW RISK",1,Q12="MODERATE RISK",2,Q12="HIGH RISK",3)</f>
        <v>1</v>
      </c>
      <c r="R13" cm="1">
        <f t="array" ref="R13">_xlfn.IFS(R12="LOW RISK",1,R12="MODERATE RISK",2,R12="HIGH RISK",3)</f>
        <v>3</v>
      </c>
      <c r="S13" cm="1">
        <f t="array" ref="S13">_xlfn.IFS(S12="LOW RISK",1,S12="MODERATE RISK",2,S12="HIGH RISK",3)</f>
        <v>2</v>
      </c>
      <c r="T13" cm="1">
        <f t="array" ref="T13">_xlfn.IFS(T12="LOW RISK",1,T12="MODERATE RISK",2,T12="HIGH RISK",3)</f>
        <v>1</v>
      </c>
      <c r="U13" cm="1">
        <f t="array" ref="U13">_xlfn.IFS(U12="LOW RISK",1,U12="MODERATE RISK",2,U12="HIGH RISK",3)</f>
        <v>1</v>
      </c>
      <c r="V13" cm="1">
        <f t="array" ref="V13">_xlfn.IFS(V12="LOW RISK",1,V12="MODERATE RISK",2,V12="HIGH RISK",3)</f>
        <v>2</v>
      </c>
      <c r="W13" cm="1">
        <f t="array" ref="W13">_xlfn.IFS(W12="LOW RISK",1,W12="MODERATE RISK",2,W12="HIGH RISK",3)</f>
        <v>2</v>
      </c>
      <c r="X13" cm="1">
        <f t="array" ref="X13">_xlfn.IFS(X12="LOW RISK",1,X12="MODERATE RISK",2,X12="HIGH RISK",3)</f>
        <v>1</v>
      </c>
      <c r="Y13" cm="1">
        <f t="array" ref="Y13">_xlfn.IFS(Y12="LOW RISK",1,Y12="MODERATE RISK",2,Y12="HIGH RISK",3)</f>
        <v>2</v>
      </c>
      <c r="Z13" cm="1">
        <f t="array" ref="Z13">_xlfn.IFS(Z12="LOW RISK",1,Z12="MODERATE RISK",2,Z12="HIGH RISK",3)</f>
        <v>2</v>
      </c>
      <c r="AA13" cm="1">
        <f t="array" ref="AA13">_xlfn.IFS(AA12="LOW RISK",1,AA12="MODERATE RISK",2,AA12="HIGH RISK",3)</f>
        <v>2</v>
      </c>
      <c r="AB13" cm="1">
        <f t="array" ref="AB13">_xlfn.IFS(AB12="LOW RISK",1,AB12="MODERATE RISK",2,AB12="HIGH RISK",3)</f>
        <v>2</v>
      </c>
      <c r="AC13" cm="1">
        <f t="array" ref="AC13">_xlfn.IFS(AC12="LOW RISK",1,AC12="MODERATE RISK",2,AC12="HIGH RISK",3)</f>
        <v>1</v>
      </c>
      <c r="AD13" cm="1">
        <f t="array" ref="AD13">_xlfn.IFS(AD12="LOW RISK",1,AD12="MODERATE RISK",2,AD12="HIGH RISK",3)</f>
        <v>1</v>
      </c>
      <c r="AE13" cm="1">
        <f t="array" ref="AE13">_xlfn.IFS(AE12="LOW RISK",1,AE12="MODERATE RISK",2,AE12="HIGH RISK",3)</f>
        <v>1</v>
      </c>
      <c r="AF13" cm="1">
        <f t="array" ref="AF13">_xlfn.IFS(AF12="LOW RISK",1,AF12="MODERATE RISK",2,AF12="HIGH RISK",3)</f>
        <v>1</v>
      </c>
      <c r="AG13" cm="1">
        <f t="array" ref="AG13">_xlfn.IFS(AG12="LOW RISK",1,AG12="MODERATE RISK",2,AG12="HIGH RISK",3)</f>
        <v>2</v>
      </c>
      <c r="AH13" cm="1">
        <f t="array" ref="AH13">_xlfn.IFS(AH12="LOW RISK",1,AH12="MODERATE RISK",2,AH12="HIGH RISK",3)</f>
        <v>3</v>
      </c>
      <c r="AI13" cm="1">
        <f t="array" ref="AI13">_xlfn.IFS(AI12="LOW RISK",1,AI12="MODERATE RISK",2,AI12="HIGH RISK",3)</f>
        <v>1</v>
      </c>
      <c r="AJ13" cm="1">
        <f t="array" ref="AJ13">_xlfn.IFS(AJ12="LOW RISK",1,AJ12="MODERATE RISK",2,AJ12="HIGH RISK",3)</f>
        <v>3</v>
      </c>
      <c r="AK13" cm="1">
        <f t="array" ref="AK13">_xlfn.IFS(AK12="LOW RISK",1,AK12="MODERATE RISK",2,AK12="HIGH RISK",3)</f>
        <v>2</v>
      </c>
      <c r="AL13" cm="1">
        <f t="array" ref="AL13">_xlfn.IFS(AL12="LOW RISK",1,AL12="MODERATE RISK",2,AL12="HIGH RISK",3)</f>
        <v>3</v>
      </c>
      <c r="AM13" cm="1">
        <f t="array" ref="AM13">_xlfn.IFS(AM12="LOW RISK",1,AM12="MODERATE RISK",2,AM12="HIGH RISK",3)</f>
        <v>2</v>
      </c>
      <c r="AN13" cm="1">
        <f t="array" ref="AN13">_xlfn.IFS(AN12="LOW RISK",1,AN12="MODERATE RISK",2,AN12="HIGH RISK",3)</f>
        <v>1</v>
      </c>
      <c r="AO13" cm="1">
        <f t="array" ref="AO13">_xlfn.IFS(AO12="LOW RISK",1,AO12="MODERATE RISK",2,AO12="HIGH RISK",3)</f>
        <v>1</v>
      </c>
      <c r="AP13" cm="1">
        <f t="array" ref="AP13">_xlfn.IFS(AP12="LOW RISK",1,AP12="MODERATE RISK",2,AP12="HIGH RISK",3)</f>
        <v>2</v>
      </c>
      <c r="AQ13" cm="1">
        <f t="array" ref="AQ13">_xlfn.IFS(AQ12="LOW RISK",1,AQ12="MODERATE RISK",2,AQ12="HIGH RISK",3)</f>
        <v>1</v>
      </c>
      <c r="AR13" cm="1">
        <f t="array" ref="AR13">_xlfn.IFS(AR12="LOW RISK",1,AR12="MODERATE RISK",2,AR12="HIGH RISK",3)</f>
        <v>1</v>
      </c>
      <c r="AS13" cm="1">
        <f t="array" ref="AS13">_xlfn.IFS(AS12="LOW RISK",1,AS12="MODERATE RISK",2,AS12="HIGH RISK",3)</f>
        <v>2</v>
      </c>
      <c r="AT13" cm="1">
        <f t="array" ref="AT13">_xlfn.IFS(AT12="LOW RISK",1,AT12="MODERATE RISK",2,AT12="HIGH RISK",3)</f>
        <v>2</v>
      </c>
      <c r="AU13" cm="1">
        <f t="array" ref="AU13">_xlfn.IFS(AU12="LOW RISK",1,AU12="MODERATE RISK",2,AU12="HIGH RISK",3)</f>
        <v>1</v>
      </c>
      <c r="AV13" cm="1">
        <f t="array" ref="AV13">_xlfn.IFS(AV12="LOW RISK",1,AV12="MODERATE RISK",2,AV12="HIGH RISK",3)</f>
        <v>2</v>
      </c>
      <c r="AW13" cm="1">
        <f t="array" ref="AW13">_xlfn.IFS(AW12="LOW RISK",1,AW12="MODERATE RISK",2,AW12="HIGH RISK",3)</f>
        <v>2</v>
      </c>
      <c r="AX13" cm="1">
        <f t="array" ref="AX13">_xlfn.IFS(AX12="LOW RISK",1,AX12="MODERATE RISK",2,AX12="HIGH RISK",3)</f>
        <v>1</v>
      </c>
      <c r="AY13" cm="1">
        <f t="array" ref="AY13">_xlfn.IFS(AY12="LOW RISK",1,AY12="MODERATE RISK",2,AY12="HIGH RISK",3)</f>
        <v>1</v>
      </c>
      <c r="AZ13" cm="1">
        <f t="array" ref="AZ13">_xlfn.IFS(AZ12="LOW RISK",1,AZ12="MODERATE RISK",2,AZ12="HIGH RISK",3)</f>
        <v>1</v>
      </c>
      <c r="BA13" cm="1">
        <f t="array" ref="BA13">_xlfn.IFS(BA12="LOW RISK",1,BA12="MODERATE RISK",2,BA12="HIGH RISK",3)</f>
        <v>3</v>
      </c>
      <c r="BB13" cm="1">
        <f t="array" ref="BB13">_xlfn.IFS(BB12="LOW RISK",1,BB12="MODERATE RISK",2,BB12="HIGH RISK",3)</f>
        <v>3</v>
      </c>
      <c r="BC13" cm="1">
        <f t="array" ref="BC13">_xlfn.IFS(BC12="LOW RISK",1,BC12="MODERATE RISK",2,BC12="HIGH RISK",3)</f>
        <v>2</v>
      </c>
      <c r="BD13" cm="1">
        <f t="array" ref="BD13">_xlfn.IFS(BD12="LOW RISK",1,BD12="MODERATE RISK",2,BD12="HIGH RISK",3)</f>
        <v>1</v>
      </c>
      <c r="BE13" cm="1">
        <f t="array" ref="BE13">_xlfn.IFS(BE12="LOW RISK",1,BE12="MODERATE RISK",2,BE12="HIGH RISK",3)</f>
        <v>1</v>
      </c>
      <c r="BF13" cm="1">
        <f t="array" ref="BF13">_xlfn.IFS(BF12="LOW RISK",1,BF12="MODERATE RISK",2,BF12="HIGH RISK",3)</f>
        <v>2</v>
      </c>
      <c r="BG13" cm="1">
        <f t="array" ref="BG13">_xlfn.IFS(BG12="LOW RISK",1,BG12="MODERATE RISK",2,BG12="HIGH RISK",3)</f>
        <v>1</v>
      </c>
      <c r="BH13" cm="1">
        <f t="array" ref="BH13">_xlfn.IFS(BH12="LOW RISK",1,BH12="MODERATE RISK",2,BH12="HIGH RISK",3)</f>
        <v>1</v>
      </c>
      <c r="BI13" cm="1">
        <f t="array" ref="BI13">_xlfn.IFS(BI12="LOW RISK",1,BI12="MODERATE RISK",2,BI12="HIGH RISK",3)</f>
        <v>1</v>
      </c>
      <c r="BJ13" cm="1">
        <f t="array" ref="BJ13">_xlfn.IFS(BJ12="LOW RISK",1,BJ12="MODERATE RISK",2,BJ12="HIGH RISK",3)</f>
        <v>2</v>
      </c>
      <c r="BK13" cm="1">
        <f t="array" ref="BK13">_xlfn.IFS(BK12="LOW RISK",1,BK12="MODERATE RISK",2,BK12="HIGH RISK",3)</f>
        <v>3</v>
      </c>
      <c r="BL13" cm="1">
        <f t="array" ref="BL13">_xlfn.IFS(BL12="LOW RISK",1,BL12="MODERATE RISK",2,BL12="HIGH RISK",3)</f>
        <v>1</v>
      </c>
      <c r="BM13" cm="1">
        <f t="array" ref="BM13">_xlfn.IFS(BM12="LOW RISK",1,BM12="MODERATE RISK",2,BM12="HIGH RISK",3)</f>
        <v>2</v>
      </c>
      <c r="BN13" cm="1">
        <f t="array" ref="BN13">_xlfn.IFS(BN12="LOW RISK",1,BN12="MODERATE RISK",2,BN12="HIGH RISK",3)</f>
        <v>1</v>
      </c>
      <c r="BO13" cm="1">
        <f t="array" ref="BO13">_xlfn.IFS(BO12="LOW RISK",1,BO12="MODERATE RISK",2,BO12="HIGH RISK",3)</f>
        <v>2</v>
      </c>
      <c r="BP13" cm="1">
        <f t="array" ref="BP13">_xlfn.IFS(BP12="LOW RISK",1,BP12="MODERATE RISK",2,BP12="HIGH RISK",3)</f>
        <v>1</v>
      </c>
      <c r="BQ13" cm="1">
        <f t="array" ref="BQ13">_xlfn.IFS(BQ12="LOW RISK",1,BQ12="MODERATE RISK",2,BQ12="HIGH RISK",3)</f>
        <v>2</v>
      </c>
      <c r="BR13" cm="1">
        <f t="array" ref="BR13">_xlfn.IFS(BR12="LOW RISK",1,BR12="MODERATE RISK",2,BR12="HIGH RISK",3)</f>
        <v>1</v>
      </c>
      <c r="BS13" cm="1">
        <f t="array" ref="BS13">_xlfn.IFS(BS12="LOW RISK",1,BS12="MODERATE RISK",2,BS12="HIGH RISK",3)</f>
        <v>1</v>
      </c>
      <c r="BT13" cm="1">
        <f t="array" ref="BT13">_xlfn.IFS(BT12="LOW RISK",1,BT12="MODERATE RISK",2,BT12="HIGH RISK",3)</f>
        <v>2</v>
      </c>
      <c r="BU13" cm="1">
        <f t="array" ref="BU13">_xlfn.IFS(BU12="LOW RISK",1,BU12="MODERATE RISK",2,BU12="HIGH RISK",3)</f>
        <v>1</v>
      </c>
      <c r="BV13" cm="1">
        <f t="array" ref="BV13">_xlfn.IFS(BV12="LOW RISK",1,BV12="MODERATE RISK",2,BV12="HIGH RISK",3)</f>
        <v>1</v>
      </c>
      <c r="BW13" cm="1">
        <f t="array" ref="BW13">_xlfn.IFS(BW12="LOW RISK",1,BW12="MODERATE RISK",2,BW12="HIGH RISK",3)</f>
        <v>3</v>
      </c>
      <c r="BX13" cm="1">
        <f t="array" ref="BX13">_xlfn.IFS(BX12="LOW RISK",1,BX12="MODERATE RISK",2,BX12="HIGH RISK",3)</f>
        <v>2</v>
      </c>
      <c r="BY13" cm="1">
        <f t="array" ref="BY13">_xlfn.IFS(BY12="LOW RISK",1,BY12="MODERATE RISK",2,BY12="HIGH RISK",3)</f>
        <v>1</v>
      </c>
      <c r="BZ13" cm="1">
        <f t="array" ref="BZ13">_xlfn.IFS(BZ12="LOW RISK",1,BZ12="MODERATE RISK",2,BZ12="HIGH RISK",3)</f>
        <v>2</v>
      </c>
      <c r="CA13" cm="1">
        <f t="array" ref="CA13">_xlfn.IFS(CA12="LOW RISK",1,CA12="MODERATE RISK",2,CA12="HIGH RISK",3)</f>
        <v>3</v>
      </c>
      <c r="CB13" cm="1">
        <f t="array" ref="CB13">_xlfn.IFS(CB12="LOW RISK",1,CB12="MODERATE RISK",2,CB12="HIGH RISK",3)</f>
        <v>1</v>
      </c>
      <c r="CC13" cm="1">
        <f t="array" ref="CC13">_xlfn.IFS(CC12="LOW RISK",1,CC12="MODERATE RISK",2,CC12="HIGH RISK",3)</f>
        <v>2</v>
      </c>
      <c r="CD13" cm="1">
        <f t="array" ref="CD13">_xlfn.IFS(CD12="LOW RISK",1,CD12="MODERATE RISK",2,CD12="HIGH RISK",3)</f>
        <v>2</v>
      </c>
      <c r="CE13" cm="1">
        <f t="array" ref="CE13">_xlfn.IFS(CE12="LOW RISK",1,CE12="MODERATE RISK",2,CE12="HIGH RISK",3)</f>
        <v>3</v>
      </c>
      <c r="CF13" cm="1">
        <f t="array" ref="CF13">_xlfn.IFS(CF12="LOW RISK",1,CF12="MODERATE RISK",2,CF12="HIGH RISK",3)</f>
        <v>2</v>
      </c>
      <c r="CG13" cm="1">
        <f t="array" ref="CG13">_xlfn.IFS(CG12="LOW RISK",1,CG12="MODERATE RISK",2,CG12="HIGH RISK",3)</f>
        <v>3</v>
      </c>
      <c r="CH13" cm="1">
        <f t="array" ref="CH13">_xlfn.IFS(CH12="LOW RISK",1,CH12="MODERATE RISK",2,CH12="HIGH RISK",3)</f>
        <v>1</v>
      </c>
      <c r="CI13" cm="1">
        <f t="array" ref="CI13">_xlfn.IFS(CI12="LOW RISK",1,CI12="MODERATE RISK",2,CI12="HIGH RISK",3)</f>
        <v>3</v>
      </c>
      <c r="CJ13" cm="1">
        <f t="array" ref="CJ13">_xlfn.IFS(CJ12="LOW RISK",1,CJ12="MODERATE RISK",2,CJ12="HIGH RISK",3)</f>
        <v>1</v>
      </c>
      <c r="CK13" cm="1">
        <f t="array" ref="CK13">_xlfn.IFS(CK12="LOW RISK",1,CK12="MODERATE RISK",2,CK12="HIGH RISK",3)</f>
        <v>2</v>
      </c>
      <c r="CL13" cm="1">
        <f t="array" ref="CL13">_xlfn.IFS(CL12="LOW RISK",1,CL12="MODERATE RISK",2,CL12="HIGH RISK",3)</f>
        <v>1</v>
      </c>
      <c r="CM13" cm="1">
        <f t="array" ref="CM13">_xlfn.IFS(CM12="LOW RISK",1,CM12="MODERATE RISK",2,CM12="HIGH RISK",3)</f>
        <v>1</v>
      </c>
      <c r="CN13" cm="1">
        <f t="array" ref="CN13">_xlfn.IFS(CN12="LOW RISK",1,CN12="MODERATE RISK",2,CN12="HIGH RISK",3)</f>
        <v>1</v>
      </c>
      <c r="CO13" cm="1">
        <f t="array" ref="CO13">_xlfn.IFS(CO12="LOW RISK",1,CO12="MODERATE RISK",2,CO12="HIGH RISK",3)</f>
        <v>2</v>
      </c>
      <c r="CP13" cm="1">
        <f t="array" ref="CP13">_xlfn.IFS(CP12="LOW RISK",1,CP12="MODERATE RISK",2,CP12="HIGH RISK",3)</f>
        <v>1</v>
      </c>
      <c r="CQ13" cm="1">
        <f t="array" ref="CQ13">_xlfn.IFS(CQ12="LOW RISK",1,CQ12="MODERATE RISK",2,CQ12="HIGH RISK",3)</f>
        <v>2</v>
      </c>
      <c r="CR13" cm="1">
        <f t="array" ref="CR13">_xlfn.IFS(CR12="LOW RISK",1,CR12="MODERATE RISK",2,CR12="HIGH RISK",3)</f>
        <v>1</v>
      </c>
      <c r="CS13" cm="1">
        <f t="array" ref="CS13">_xlfn.IFS(CS12="LOW RISK",1,CS12="MODERATE RISK",2,CS12="HIGH RISK",3)</f>
        <v>2</v>
      </c>
      <c r="CT13" cm="1">
        <f t="array" ref="CT13">_xlfn.IFS(CT12="LOW RISK",1,CT12="MODERATE RISK",2,CT12="HIGH RISK",3)</f>
        <v>1</v>
      </c>
      <c r="CU13" cm="1">
        <f t="array" ref="CU13">_xlfn.IFS(CU12="LOW RISK",1,CU12="MODERATE RISK",2,CU12="HIGH RISK",3)</f>
        <v>2</v>
      </c>
      <c r="CV13" cm="1">
        <f t="array" ref="CV13">_xlfn.IFS(CV12="LOW RISK",1,CV12="MODERATE RISK",2,CV12="HIGH RISK",3)</f>
        <v>3</v>
      </c>
      <c r="CW13" cm="1">
        <f t="array" ref="CW13">_xlfn.IFS(CW12="LOW RISK",1,CW12="MODERATE RISK",2,CW12="HIGH RISK",3)</f>
        <v>2</v>
      </c>
      <c r="CX13" cm="1">
        <f t="array" ref="CX13">_xlfn.IFS(CX12="LOW RISK",1,CX12="MODERATE RISK",2,CX12="HIGH RISK",3)</f>
        <v>1</v>
      </c>
      <c r="CY13" cm="1">
        <f t="array" ref="CY13">_xlfn.IFS(CY12="LOW RISK",1,CY12="MODERATE RISK",2,CY12="HIGH RISK",3)</f>
        <v>2</v>
      </c>
      <c r="CZ13" cm="1">
        <f t="array" ref="CZ13">_xlfn.IFS(CZ12="LOW RISK",1,CZ12="MODERATE RISK",2,CZ12="HIGH RISK",3)</f>
        <v>1</v>
      </c>
      <c r="DA13" cm="1">
        <f t="array" ref="DA13">_xlfn.IFS(DA12="LOW RISK",1,DA12="MODERATE RISK",2,DA12="HIGH RISK",3)</f>
        <v>1</v>
      </c>
      <c r="DB13" cm="1">
        <f t="array" ref="DB13">_xlfn.IFS(DB12="LOW RISK",1,DB12="MODERATE RISK",2,DB12="HIGH RISK",3)</f>
        <v>2</v>
      </c>
      <c r="DC13" cm="1">
        <f t="array" ref="DC13">_xlfn.IFS(DC12="LOW RISK",1,DC12="MODERATE RISK",2,DC12="HIGH RISK",3)</f>
        <v>1</v>
      </c>
      <c r="DD13" cm="1">
        <f t="array" ref="DD13">_xlfn.IFS(DD12="LOW RISK",1,DD12="MODERATE RISK",2,DD12="HIGH RISK",3)</f>
        <v>1</v>
      </c>
      <c r="DE13" cm="1">
        <f t="array" ref="DE13">_xlfn.IFS(DE12="LOW RISK",1,DE12="MODERATE RISK",2,DE12="HIGH RISK",3)</f>
        <v>2</v>
      </c>
      <c r="DF13" cm="1">
        <f t="array" ref="DF13">_xlfn.IFS(DF12="LOW RISK",1,DF12="MODERATE RISK",2,DF12="HIGH RISK",3)</f>
        <v>1</v>
      </c>
      <c r="DG13" cm="1">
        <f t="array" ref="DG13">_xlfn.IFS(DG12="LOW RISK",1,DG12="MODERATE RISK",2,DG12="HIGH RISK",3)</f>
        <v>2</v>
      </c>
      <c r="DH13" cm="1">
        <f t="array" ref="DH13">_xlfn.IFS(DH12="LOW RISK",1,DH12="MODERATE RISK",2,DH12="HIGH RISK",3)</f>
        <v>2</v>
      </c>
      <c r="DI13" cm="1">
        <f t="array" ref="DI13">_xlfn.IFS(DI12="LOW RISK",1,DI12="MODERATE RISK",2,DI12="HIGH RISK",3)</f>
        <v>3</v>
      </c>
      <c r="DJ13" cm="1">
        <f t="array" ref="DJ13">_xlfn.IFS(DJ12="LOW RISK",1,DJ12="MODERATE RISK",2,DJ12="HIGH RISK",3)</f>
        <v>2</v>
      </c>
      <c r="DK13" cm="1">
        <f t="array" ref="DK13">_xlfn.IFS(DK12="LOW RISK",1,DK12="MODERATE RISK",2,DK12="HIGH RISK",3)</f>
        <v>2</v>
      </c>
      <c r="DL13" cm="1">
        <f t="array" ref="DL13">_xlfn.IFS(DL12="LOW RISK",1,DL12="MODERATE RISK",2,DL12="HIGH RISK",3)</f>
        <v>1</v>
      </c>
      <c r="DM13" cm="1">
        <f t="array" ref="DM13">_xlfn.IFS(DM12="LOW RISK",1,DM12="MODERATE RISK",2,DM12="HIGH RISK",3)</f>
        <v>1</v>
      </c>
      <c r="DN13" cm="1">
        <f t="array" ref="DN13">_xlfn.IFS(DN12="LOW RISK",1,DN12="MODERATE RISK",2,DN12="HIGH RISK",3)</f>
        <v>1</v>
      </c>
      <c r="DO13" cm="1">
        <f t="array" ref="DO13">_xlfn.IFS(DO12="LOW RISK",1,DO12="MODERATE RISK",2,DO12="HIGH RISK",3)</f>
        <v>1</v>
      </c>
      <c r="DP13" cm="1">
        <f t="array" ref="DP13">_xlfn.IFS(DP12="LOW RISK",1,DP12="MODERATE RISK",2,DP12="HIGH RISK",3)</f>
        <v>1</v>
      </c>
      <c r="DQ13" cm="1">
        <f t="array" ref="DQ13">_xlfn.IFS(DQ12="LOW RISK",1,DQ12="MODERATE RISK",2,DQ12="HIGH RISK",3)</f>
        <v>1</v>
      </c>
      <c r="DR13" cm="1">
        <f t="array" ref="DR13">_xlfn.IFS(DR12="LOW RISK",1,DR12="MODERATE RISK",2,DR12="HIGH RISK",3)</f>
        <v>3</v>
      </c>
      <c r="DS13" cm="1">
        <f t="array" ref="DS13">_xlfn.IFS(DS12="LOW RISK",1,DS12="MODERATE RISK",2,DS12="HIGH RISK",3)</f>
        <v>1</v>
      </c>
      <c r="DT13" cm="1">
        <f t="array" ref="DT13">_xlfn.IFS(DT12="LOW RISK",1,DT12="MODERATE RISK",2,DT12="HIGH RISK",3)</f>
        <v>2</v>
      </c>
      <c r="DU13" cm="1">
        <f t="array" ref="DU13">_xlfn.IFS(DU12="LOW RISK",1,DU12="MODERATE RISK",2,DU12="HIGH RISK",3)</f>
        <v>3</v>
      </c>
      <c r="DV13" cm="1">
        <f t="array" ref="DV13">_xlfn.IFS(DV12="LOW RISK",1,DV12="MODERATE RISK",2,DV12="HIGH RISK",3)</f>
        <v>2</v>
      </c>
      <c r="DW13" cm="1">
        <f t="array" ref="DW13">_xlfn.IFS(DW12="LOW RISK",1,DW12="MODERATE RISK",2,DW12="HIGH RISK",3)</f>
        <v>2</v>
      </c>
      <c r="DX13" cm="1">
        <f t="array" ref="DX13">_xlfn.IFS(DX12="LOW RISK",1,DX12="MODERATE RISK",2,DX12="HIGH RISK",3)</f>
        <v>2</v>
      </c>
      <c r="DY13" cm="1">
        <f t="array" ref="DY13">_xlfn.IFS(DY12="LOW RISK",1,DY12="MODERATE RISK",2,DY12="HIGH RISK",3)</f>
        <v>1</v>
      </c>
      <c r="DZ13" cm="1">
        <f t="array" ref="DZ13">_xlfn.IFS(DZ12="LOW RISK",1,DZ12="MODERATE RISK",2,DZ12="HIGH RISK",3)</f>
        <v>2</v>
      </c>
      <c r="EA13" cm="1">
        <f t="array" ref="EA13">_xlfn.IFS(EA12="LOW RISK",1,EA12="MODERATE RISK",2,EA12="HIGH RISK",3)</f>
        <v>2</v>
      </c>
      <c r="EB13" cm="1">
        <f t="array" ref="EB13">_xlfn.IFS(EB12="LOW RISK",1,EB12="MODERATE RISK",2,EB12="HIGH RISK",3)</f>
        <v>1</v>
      </c>
      <c r="EC13" cm="1">
        <f t="array" ref="EC13">_xlfn.IFS(EC12="LOW RISK",1,EC12="MODERATE RISK",2,EC12="HIGH RISK",3)</f>
        <v>1</v>
      </c>
      <c r="ED13" cm="1">
        <f t="array" ref="ED13">_xlfn.IFS(ED12="LOW RISK",1,ED12="MODERATE RISK",2,ED12="HIGH RISK",3)</f>
        <v>2</v>
      </c>
      <c r="EE13" cm="1">
        <f t="array" ref="EE13">_xlfn.IFS(EE12="LOW RISK",1,EE12="MODERATE RISK",2,EE12="HIGH RISK",3)</f>
        <v>2</v>
      </c>
      <c r="EF13" cm="1">
        <f t="array" ref="EF13">_xlfn.IFS(EF12="LOW RISK",1,EF12="MODERATE RISK",2,EF12="HIGH RISK",3)</f>
        <v>2</v>
      </c>
      <c r="EG13" cm="1">
        <f t="array" ref="EG13">_xlfn.IFS(EG12="LOW RISK",1,EG12="MODERATE RISK",2,EG12="HIGH RISK",3)</f>
        <v>2</v>
      </c>
      <c r="EH13" cm="1">
        <f t="array" ref="EH13">_xlfn.IFS(EH12="LOW RISK",1,EH12="MODERATE RISK",2,EH12="HIGH RISK",3)</f>
        <v>1</v>
      </c>
      <c r="EI13" cm="1">
        <f t="array" ref="EI13">_xlfn.IFS(EI12="LOW RISK",1,EI12="MODERATE RISK",2,EI12="HIGH RISK",3)</f>
        <v>2</v>
      </c>
      <c r="EJ13" cm="1">
        <f t="array" ref="EJ13">_xlfn.IFS(EJ12="LOW RISK",1,EJ12="MODERATE RISK",2,EJ12="HIGH RISK",3)</f>
        <v>1</v>
      </c>
      <c r="EK13" cm="1">
        <f t="array" ref="EK13">_xlfn.IFS(EK12="LOW RISK",1,EK12="MODERATE RISK",2,EK12="HIGH RISK",3)</f>
        <v>1</v>
      </c>
      <c r="EL13" cm="1">
        <f t="array" ref="EL13">_xlfn.IFS(EL12="LOW RISK",1,EL12="MODERATE RISK",2,EL12="HIGH RISK",3)</f>
        <v>1</v>
      </c>
      <c r="EM13" cm="1">
        <f t="array" ref="EM13">_xlfn.IFS(EM12="LOW RISK",1,EM12="MODERATE RISK",2,EM12="HIGH RISK",3)</f>
        <v>1</v>
      </c>
      <c r="EN13" cm="1">
        <f t="array" ref="EN13">_xlfn.IFS(EN12="LOW RISK",1,EN12="MODERATE RISK",2,EN12="HIGH RISK",3)</f>
        <v>1</v>
      </c>
      <c r="EO13" cm="1">
        <f t="array" ref="EO13">_xlfn.IFS(EO12="LOW RISK",1,EO12="MODERATE RISK",2,EO12="HIGH RISK",3)</f>
        <v>3</v>
      </c>
      <c r="EP13" cm="1">
        <f t="array" ref="EP13">_xlfn.IFS(EP12="LOW RISK",1,EP12="MODERATE RISK",2,EP12="HIGH RISK",3)</f>
        <v>1</v>
      </c>
      <c r="EQ13" cm="1">
        <f t="array" ref="EQ13">_xlfn.IFS(EQ12="LOW RISK",1,EQ12="MODERATE RISK",2,EQ12="HIGH RISK",3)</f>
        <v>1</v>
      </c>
      <c r="ER13" cm="1">
        <f t="array" ref="ER13">_xlfn.IFS(ER12="LOW RISK",1,ER12="MODERATE RISK",2,ER12="HIGH RISK",3)</f>
        <v>1</v>
      </c>
      <c r="ES13" cm="1">
        <f t="array" ref="ES13">_xlfn.IFS(ES12="LOW RISK",1,ES12="MODERATE RISK",2,ES12="HIGH RISK",3)</f>
        <v>2</v>
      </c>
      <c r="ET13" cm="1">
        <f t="array" ref="ET13">_xlfn.IFS(ET12="LOW RISK",1,ET12="MODERATE RISK",2,ET12="HIGH RISK",3)</f>
        <v>1</v>
      </c>
      <c r="EU13" cm="1">
        <f t="array" ref="EU13">_xlfn.IFS(EU12="LOW RISK",1,EU12="MODERATE RISK",2,EU12="HIGH RISK",3)</f>
        <v>2</v>
      </c>
      <c r="EV13" cm="1">
        <f t="array" ref="EV13">_xlfn.IFS(EV12="LOW RISK",1,EV12="MODERATE RISK",2,EV12="HIGH RISK",3)</f>
        <v>1</v>
      </c>
      <c r="EW13" cm="1">
        <f t="array" ref="EW13">_xlfn.IFS(EW12="LOW RISK",1,EW12="MODERATE RISK",2,EW12="HIGH RISK",3)</f>
        <v>1</v>
      </c>
      <c r="EX13" cm="1">
        <f t="array" ref="EX13">_xlfn.IFS(EX12="LOW RISK",1,EX12="MODERATE RISK",2,EX12="HIGH RISK",3)</f>
        <v>3</v>
      </c>
      <c r="EY13" cm="1">
        <f t="array" ref="EY13">_xlfn.IFS(EY12="LOW RISK",1,EY12="MODERATE RISK",2,EY12="HIGH RISK",3)</f>
        <v>2</v>
      </c>
      <c r="EZ13" cm="1">
        <f t="array" ref="EZ13">_xlfn.IFS(EZ12="LOW RISK",1,EZ12="MODERATE RISK",2,EZ12="HIGH RISK",3)</f>
        <v>1</v>
      </c>
      <c r="FA13" cm="1">
        <f t="array" ref="FA13">_xlfn.IFS(FA12="LOW RISK",1,FA12="MODERATE RISK",2,FA12="HIGH RISK",3)</f>
        <v>2</v>
      </c>
      <c r="FB13" cm="1">
        <f t="array" ref="FB13">_xlfn.IFS(FB12="LOW RISK",1,FB12="MODERATE RISK",2,FB12="HIGH RISK",3)</f>
        <v>1</v>
      </c>
      <c r="FC13" cm="1">
        <f t="array" ref="FC13">_xlfn.IFS(FC12="LOW RISK",1,FC12="MODERATE RISK",2,FC12="HIGH RISK",3)</f>
        <v>3</v>
      </c>
      <c r="FD13" cm="1">
        <f t="array" ref="FD13">_xlfn.IFS(FD12="LOW RISK",1,FD12="MODERATE RISK",2,FD12="HIGH RISK",3)</f>
        <v>1</v>
      </c>
      <c r="FE13" cm="1">
        <f t="array" ref="FE13">_xlfn.IFS(FE12="LOW RISK",1,FE12="MODERATE RISK",2,FE12="HIGH RISK",3)</f>
        <v>3</v>
      </c>
      <c r="FF13" cm="1">
        <f t="array" ref="FF13">_xlfn.IFS(FF12="LOW RISK",1,FF12="MODERATE RISK",2,FF12="HIGH RISK",3)</f>
        <v>1</v>
      </c>
      <c r="FG13" cm="1">
        <f t="array" ref="FG13">_xlfn.IFS(FG12="LOW RISK",1,FG12="MODERATE RISK",2,FG12="HIGH RISK",3)</f>
        <v>3</v>
      </c>
      <c r="FH13" cm="1">
        <f t="array" ref="FH13">_xlfn.IFS(FH12="LOW RISK",1,FH12="MODERATE RISK",2,FH12="HIGH RISK",3)</f>
        <v>3</v>
      </c>
      <c r="FI13" cm="1">
        <f t="array" ref="FI13">_xlfn.IFS(FI12="LOW RISK",1,FI12="MODERATE RISK",2,FI12="HIGH RISK",3)</f>
        <v>3</v>
      </c>
      <c r="FJ13" cm="1">
        <f t="array" ref="FJ13">_xlfn.IFS(FJ12="LOW RISK",1,FJ12="MODERATE RISK",2,FJ12="HIGH RISK",3)</f>
        <v>1</v>
      </c>
      <c r="FK13" cm="1">
        <f t="array" ref="FK13">_xlfn.IFS(FK12="LOW RISK",1,FK12="MODERATE RISK",2,FK12="HIGH RISK",3)</f>
        <v>1</v>
      </c>
      <c r="FL13" cm="1">
        <f t="array" ref="FL13">_xlfn.IFS(FL12="LOW RISK",1,FL12="MODERATE RISK",2,FL12="HIGH RISK",3)</f>
        <v>2</v>
      </c>
      <c r="FM13" cm="1">
        <f t="array" ref="FM13">_xlfn.IFS(FM12="LOW RISK",1,FM12="MODERATE RISK",2,FM12="HIGH RISK",3)</f>
        <v>1</v>
      </c>
      <c r="FN13" cm="1">
        <f t="array" ref="FN13">_xlfn.IFS(FN12="LOW RISK",1,FN12="MODERATE RISK",2,FN12="HIGH RISK",3)</f>
        <v>1</v>
      </c>
      <c r="FO13" cm="1">
        <f t="array" ref="FO13">_xlfn.IFS(FO12="LOW RISK",1,FO12="MODERATE RISK",2,FO12="HIGH RISK",3)</f>
        <v>2</v>
      </c>
      <c r="FP13" cm="1">
        <f t="array" ref="FP13">_xlfn.IFS(FP12="LOW RISK",1,FP12="MODERATE RISK",2,FP12="HIGH RISK",3)</f>
        <v>3</v>
      </c>
      <c r="FQ13" cm="1">
        <f t="array" ref="FQ13">_xlfn.IFS(FQ12="LOW RISK",1,FQ12="MODERATE RISK",2,FQ12="HIGH RISK",3)</f>
        <v>2</v>
      </c>
      <c r="FR13" cm="1">
        <f t="array" ref="FR13">_xlfn.IFS(FR12="LOW RISK",1,FR12="MODERATE RISK",2,FR12="HIGH RISK",3)</f>
        <v>2</v>
      </c>
      <c r="FS13" cm="1">
        <f t="array" ref="FS13">_xlfn.IFS(FS12="LOW RISK",1,FS12="MODERATE RISK",2,FS12="HIGH RISK",3)</f>
        <v>2</v>
      </c>
      <c r="FT13" cm="1">
        <f t="array" ref="FT13">_xlfn.IFS(FT12="LOW RISK",1,FT12="MODERATE RISK",2,FT12="HIGH RISK",3)</f>
        <v>1</v>
      </c>
      <c r="FU13" cm="1">
        <f t="array" ref="FU13">_xlfn.IFS(FU12="LOW RISK",1,FU12="MODERATE RISK",2,FU12="HIGH RISK",3)</f>
        <v>2</v>
      </c>
      <c r="FV13" cm="1">
        <f t="array" ref="FV13">_xlfn.IFS(FV12="LOW RISK",1,FV12="MODERATE RISK",2,FV12="HIGH RISK",3)</f>
        <v>1</v>
      </c>
      <c r="FW13" cm="1">
        <f t="array" ref="FW13">_xlfn.IFS(FW12="LOW RISK",1,FW12="MODERATE RISK",2,FW12="HIGH RISK",3)</f>
        <v>3</v>
      </c>
      <c r="FX13" cm="1">
        <f t="array" ref="FX13">_xlfn.IFS(FX12="LOW RISK",1,FX12="MODERATE RISK",2,FX12="HIGH RISK",3)</f>
        <v>2</v>
      </c>
      <c r="FY13" cm="1">
        <f t="array" ref="FY13">_xlfn.IFS(FY12="LOW RISK",1,FY12="MODERATE RISK",2,FY12="HIGH RISK",3)</f>
        <v>1</v>
      </c>
      <c r="FZ13" cm="1">
        <f t="array" ref="FZ13">_xlfn.IFS(FZ12="LOW RISK",1,FZ12="MODERATE RISK",2,FZ12="HIGH RISK",3)</f>
        <v>1</v>
      </c>
      <c r="GA13" cm="1">
        <f t="array" ref="GA13">_xlfn.IFS(GA12="LOW RISK",1,GA12="MODERATE RISK",2,GA12="HIGH RISK",3)</f>
        <v>1</v>
      </c>
      <c r="GB13" cm="1">
        <f t="array" ref="GB13">_xlfn.IFS(GB12="LOW RISK",1,GB12="MODERATE RISK",2,GB12="HIGH RISK",3)</f>
        <v>1</v>
      </c>
      <c r="GC13" cm="1">
        <f t="array" ref="GC13">_xlfn.IFS(GC12="LOW RISK",1,GC12="MODERATE RISK",2,GC12="HIGH RISK",3)</f>
        <v>3</v>
      </c>
      <c r="GD13" cm="1">
        <f t="array" ref="GD13">_xlfn.IFS(GD12="LOW RISK",1,GD12="MODERATE RISK",2,GD12="HIGH RISK",3)</f>
        <v>3</v>
      </c>
      <c r="GE13" cm="1">
        <f t="array" ref="GE13">_xlfn.IFS(GE12="LOW RISK",1,GE12="MODERATE RISK",2,GE12="HIGH RISK",3)</f>
        <v>2</v>
      </c>
      <c r="GF13" cm="1">
        <f t="array" ref="GF13">_xlfn.IFS(GF12="LOW RISK",1,GF12="MODERATE RISK",2,GF12="HIGH RISK",3)</f>
        <v>1</v>
      </c>
    </row>
    <row r="15" spans="1:188" x14ac:dyDescent="0.35">
      <c r="A15" s="24" t="s">
        <v>210</v>
      </c>
    </row>
    <row r="16" spans="1:188" x14ac:dyDescent="0.35">
      <c r="B16" s="24" t="s">
        <v>14</v>
      </c>
    </row>
    <row r="17" spans="2:2" x14ac:dyDescent="0.35">
      <c r="B17" t="str">
        <f>HLOOKUP(B16,$A$1:$GF$13,7,1)</f>
        <v>Europe</v>
      </c>
    </row>
  </sheetData>
  <conditionalFormatting sqref="B10:GF1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" priority="5" operator="between">
      <formula>69</formula>
      <formula>100</formula>
    </cfRule>
    <cfRule type="cellIs" dxfId="1" priority="6" operator="between">
      <formula>21</formula>
      <formula>68</formula>
    </cfRule>
    <cfRule type="cellIs" dxfId="0" priority="7" operator="between">
      <formula>0</formula>
      <formula>20</formula>
    </cfRule>
  </conditionalFormatting>
  <conditionalFormatting sqref="B11:GF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{6D00FD6E-1411-40A0-8353-168E82D32B37}</x14:id>
        </ext>
      </extLst>
    </cfRule>
  </conditionalFormatting>
  <conditionalFormatting sqref="B12:GF12">
    <cfRule type="iconSet" priority="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13:GF13">
    <cfRule type="iconSet" priority="1">
      <iconSet iconSet="3Arrows" showValue="0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16" xr:uid="{5562EA2E-E3E8-4A13-95D0-4CD036B41054}">
      <formula1>$B$1:$GF$1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00FD6E-1411-40A0-8353-168E82D32B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B11:GF11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465D-CB8D-4E8F-983C-F7F7E76E04B8}">
  <dimension ref="A1"/>
  <sheetViews>
    <sheetView zoomScale="63" workbookViewId="0">
      <selection activeCell="J35" sqref="J35"/>
    </sheetView>
  </sheetViews>
  <sheetFormatPr defaultRowHeight="14.5" x14ac:dyDescent="0.35"/>
  <cols>
    <col min="1" max="1" width="12.453125" bestFit="1" customWidth="1"/>
    <col min="2" max="2" width="16" bestFit="1" customWidth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0F45A-4AFA-44FA-BBEF-CD7376F8E0E3}">
  <dimension ref="A1:B11"/>
  <sheetViews>
    <sheetView showGridLines="0" tabSelected="1" workbookViewId="0">
      <selection activeCell="Q15" sqref="Q15"/>
    </sheetView>
  </sheetViews>
  <sheetFormatPr defaultRowHeight="14.5" x14ac:dyDescent="0.35"/>
  <cols>
    <col min="1" max="1" width="10.81640625" bestFit="1" customWidth="1"/>
  </cols>
  <sheetData>
    <row r="1" spans="1:2" x14ac:dyDescent="0.35">
      <c r="A1" s="24" t="s">
        <v>211</v>
      </c>
      <c r="B1" t="s">
        <v>212</v>
      </c>
    </row>
    <row r="3" spans="1:2" x14ac:dyDescent="0.35">
      <c r="A3" s="24" t="s">
        <v>213</v>
      </c>
      <c r="B3" t="s">
        <v>216</v>
      </c>
    </row>
    <row r="4" spans="1:2" x14ac:dyDescent="0.35">
      <c r="A4" s="24"/>
      <c r="B4" t="s">
        <v>217</v>
      </c>
    </row>
    <row r="6" spans="1:2" x14ac:dyDescent="0.35">
      <c r="A6" s="24" t="s">
        <v>214</v>
      </c>
      <c r="B6" t="s">
        <v>215</v>
      </c>
    </row>
    <row r="8" spans="1:2" x14ac:dyDescent="0.35">
      <c r="A8" s="24" t="s">
        <v>218</v>
      </c>
      <c r="B8" t="s">
        <v>219</v>
      </c>
    </row>
    <row r="9" spans="1:2" x14ac:dyDescent="0.35">
      <c r="B9" t="s">
        <v>220</v>
      </c>
    </row>
    <row r="11" spans="1:2" x14ac:dyDescent="0.35">
      <c r="A11" s="24" t="s">
        <v>221</v>
      </c>
      <c r="B1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HLOOKUP</vt:lpstr>
      <vt:lpstr>CHART CREATION</vt:lpstr>
      <vt:lpstr>BRAINSTORMING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Mrinal Das</dc:creator>
  <cp:lastModifiedBy>Siddharth kushwaha</cp:lastModifiedBy>
  <dcterms:created xsi:type="dcterms:W3CDTF">2025-07-17T13:38:16Z</dcterms:created>
  <dcterms:modified xsi:type="dcterms:W3CDTF">2025-11-11T14:06:26Z</dcterms:modified>
</cp:coreProperties>
</file>